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39" documentId="13_ncr:1_{0ED0AD98-7D03-4909-825A-B94CEB8AF44B}" xr6:coauthVersionLast="36" xr6:coauthVersionMax="47" xr10:uidLastSave="{6CBDC5D7-4FDE-449E-A980-F2CF83ABD3B8}"/>
  <bookViews>
    <workbookView xWindow="-60" yWindow="-60" windowWidth="15480" windowHeight="11640" tabRatio="773" activeTab="2" xr2:uid="{00000000-000D-0000-FFFF-FFFF00000000}"/>
  </bookViews>
  <sheets>
    <sheet name="Avance Financiero" sheetId="26" r:id="rId1"/>
    <sheet name="EJecucion convenio 46000017482" sheetId="25" r:id="rId2"/>
    <sheet name="Ejecución financiera CAS" sheetId="27" r:id="rId3"/>
    <sheet name="% Ejecución financiera CRUE" sheetId="32" r:id="rId4"/>
    <sheet name="Ejecución Financiera CAS 1" sheetId="28" r:id="rId5"/>
    <sheet name="Avance mensual Conv IDEA" sheetId="31" r:id="rId6"/>
    <sheet name="Hoja1" sheetId="33" r:id="rId7"/>
  </sheets>
  <definedNames>
    <definedName name="_xlnm._FilterDatabase" localSheetId="0" hidden="1">'Avance Financiero'!$B$2:$J$2</definedName>
    <definedName name="_xlnm.Print_Area" localSheetId="0">'Avance Financiero'!$B$1:$J$144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27" l="1"/>
  <c r="R19" i="27"/>
  <c r="R18" i="27"/>
  <c r="R15" i="27" l="1"/>
  <c r="R13" i="27"/>
  <c r="I55" i="27"/>
  <c r="I56" i="27"/>
  <c r="I57" i="27"/>
  <c r="I58" i="27"/>
  <c r="I59" i="27"/>
  <c r="I60" i="27"/>
  <c r="A55" i="27"/>
  <c r="A56" i="27"/>
  <c r="A57" i="27"/>
  <c r="A58" i="27"/>
  <c r="A59" i="27"/>
  <c r="A60" i="27"/>
  <c r="E105" i="25" l="1"/>
  <c r="E106" i="25"/>
  <c r="E107" i="25"/>
  <c r="E108" i="25"/>
  <c r="E109" i="25"/>
  <c r="E110" i="25"/>
  <c r="E135" i="25"/>
  <c r="E136" i="25"/>
  <c r="E137" i="25"/>
  <c r="E138" i="25"/>
  <c r="E139" i="25"/>
  <c r="E134" i="25"/>
  <c r="Q41" i="27"/>
  <c r="O3" i="27"/>
  <c r="O2" i="27"/>
  <c r="E22" i="31"/>
  <c r="N52" i="27" l="1"/>
  <c r="N53" i="27"/>
  <c r="D11" i="33" l="1"/>
  <c r="D8" i="33"/>
  <c r="K24" i="25" l="1"/>
  <c r="L24" i="25" s="1"/>
  <c r="E176" i="25" l="1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L4" i="32" l="1"/>
  <c r="A10" i="32"/>
  <c r="D2" i="28"/>
  <c r="E2" i="28"/>
  <c r="E3" i="28" s="1"/>
  <c r="E4" i="28" s="1"/>
  <c r="E5" i="28" s="1"/>
  <c r="E6" i="28" s="1"/>
  <c r="E7" i="28"/>
  <c r="E8" i="28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L9" i="32"/>
  <c r="M9" i="32"/>
  <c r="N9" i="32" s="1"/>
  <c r="O9" i="32" s="1"/>
  <c r="L15" i="32"/>
  <c r="O34" i="27"/>
  <c r="E84" i="28"/>
  <c r="E85" i="28"/>
  <c r="E86" i="28"/>
  <c r="E87" i="28"/>
  <c r="E88" i="28"/>
  <c r="E89" i="28"/>
  <c r="E90" i="28"/>
  <c r="C83" i="28"/>
  <c r="B83" i="28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F87" i="27"/>
  <c r="G89" i="27" s="1"/>
  <c r="G90" i="27" s="1"/>
  <c r="G91" i="27" s="1"/>
  <c r="G92" i="27" s="1"/>
  <c r="G93" i="27" s="1"/>
  <c r="G94" i="27" s="1"/>
  <c r="B95" i="27"/>
  <c r="E95" i="27"/>
  <c r="B96" i="27"/>
  <c r="E96" i="27"/>
  <c r="J49" i="27"/>
  <c r="J50" i="27"/>
  <c r="J51" i="27"/>
  <c r="J52" i="27"/>
  <c r="J53" i="27"/>
  <c r="J54" i="27"/>
  <c r="J55" i="27"/>
  <c r="E97" i="27" s="1"/>
  <c r="J56" i="27"/>
  <c r="J57" i="27"/>
  <c r="J58" i="27"/>
  <c r="L58" i="27" s="1"/>
  <c r="J59" i="27"/>
  <c r="L59" i="27" s="1"/>
  <c r="J60" i="27"/>
  <c r="L60" i="27" s="1"/>
  <c r="J61" i="27"/>
  <c r="L61" i="27" s="1"/>
  <c r="J62" i="27"/>
  <c r="L62" i="27" s="1"/>
  <c r="J63" i="27"/>
  <c r="L63" i="27" s="1"/>
  <c r="J64" i="27"/>
  <c r="L64" i="27" s="1"/>
  <c r="J65" i="27"/>
  <c r="L65" i="27" s="1"/>
  <c r="J66" i="27"/>
  <c r="L66" i="27" s="1"/>
  <c r="J67" i="27"/>
  <c r="L67" i="27" s="1"/>
  <c r="J68" i="27"/>
  <c r="L68" i="27" s="1"/>
  <c r="J69" i="27"/>
  <c r="L69" i="27" s="1"/>
  <c r="J70" i="27"/>
  <c r="L70" i="27" s="1"/>
  <c r="J71" i="27"/>
  <c r="L71" i="27" s="1"/>
  <c r="J72" i="27"/>
  <c r="L72" i="27" s="1"/>
  <c r="J73" i="27"/>
  <c r="L73" i="27" s="1"/>
  <c r="J74" i="27"/>
  <c r="L74" i="27" s="1"/>
  <c r="J75" i="27"/>
  <c r="L75" i="27" s="1"/>
  <c r="J48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I48" i="27"/>
  <c r="I49" i="27"/>
  <c r="I50" i="27"/>
  <c r="I51" i="27"/>
  <c r="I52" i="27"/>
  <c r="I53" i="27"/>
  <c r="I54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Q34" i="27" l="1"/>
  <c r="O38" i="27"/>
  <c r="O42" i="27"/>
  <c r="O45" i="27" s="1"/>
  <c r="E115" i="27"/>
  <c r="G115" i="27" s="1"/>
  <c r="G95" i="27"/>
  <c r="G96" i="27" s="1"/>
  <c r="G97" i="27" s="1"/>
  <c r="G98" i="27" s="1"/>
  <c r="F89" i="27"/>
  <c r="F115" i="27" s="1"/>
  <c r="E103" i="25"/>
  <c r="E104" i="25"/>
  <c r="E111" i="25"/>
  <c r="E112" i="25"/>
  <c r="E113" i="25"/>
  <c r="J37" i="27" l="1"/>
  <c r="J38" i="27"/>
  <c r="J39" i="27"/>
  <c r="J40" i="27"/>
  <c r="J41" i="27"/>
  <c r="J42" i="27"/>
  <c r="J43" i="27"/>
  <c r="J44" i="27"/>
  <c r="J45" i="27"/>
  <c r="J46" i="27"/>
  <c r="J47" i="27"/>
  <c r="A14" i="32" l="1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11" i="32"/>
  <c r="A12" i="32"/>
  <c r="A13" i="32"/>
  <c r="H12" i="32"/>
  <c r="H13" i="32"/>
  <c r="G143" i="26" l="1"/>
  <c r="H143" i="26"/>
  <c r="C143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41" i="26"/>
  <c r="E170" i="25" l="1"/>
  <c r="E171" i="25"/>
  <c r="E172" i="25"/>
  <c r="E173" i="25"/>
  <c r="E174" i="25"/>
  <c r="E175" i="25"/>
  <c r="J40" i="32" l="1"/>
  <c r="J41" i="32" s="1"/>
  <c r="J42" i="32" s="1"/>
  <c r="J43" i="32" s="1"/>
  <c r="J44" i="32" s="1"/>
  <c r="J45" i="32" s="1"/>
  <c r="J46" i="32" s="1"/>
  <c r="I2" i="28"/>
  <c r="J2" i="28"/>
  <c r="J3" i="28" s="1"/>
  <c r="J4" i="28" s="1"/>
  <c r="J5" i="28" s="1"/>
  <c r="J6" i="28" s="1"/>
  <c r="J7" i="28" s="1"/>
  <c r="J8" i="28" s="1"/>
  <c r="D114" i="25"/>
  <c r="I40" i="32" l="1"/>
  <c r="E99" i="25"/>
  <c r="E100" i="25"/>
  <c r="E101" i="25"/>
  <c r="E102" i="25"/>
  <c r="C55" i="25"/>
  <c r="I35" i="27" l="1"/>
  <c r="J35" i="27"/>
  <c r="I36" i="27"/>
  <c r="J36" i="27"/>
  <c r="I37" i="27"/>
  <c r="I38" i="27"/>
  <c r="J33" i="27"/>
  <c r="J34" i="27"/>
  <c r="I33" i="27"/>
  <c r="I34" i="27"/>
  <c r="B78" i="28"/>
  <c r="C91" i="28"/>
  <c r="C72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C39" i="31" l="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6" i="28"/>
  <c r="E36" i="28" s="1"/>
  <c r="E35" i="28"/>
  <c r="E24" i="28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C41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D24" i="28"/>
  <c r="D36" i="28" s="1"/>
  <c r="E18" i="28"/>
  <c r="E17" i="28"/>
  <c r="E13" i="28"/>
  <c r="E14" i="28" s="1"/>
  <c r="E15" i="28" s="1"/>
  <c r="E16" i="28" s="1"/>
  <c r="D13" i="28"/>
  <c r="C34" i="32"/>
  <c r="H33" i="32"/>
  <c r="J33" i="32" s="1"/>
  <c r="G33" i="32"/>
  <c r="E33" i="32"/>
  <c r="H32" i="32"/>
  <c r="J32" i="32" s="1"/>
  <c r="G32" i="32"/>
  <c r="E32" i="32"/>
  <c r="H31" i="32"/>
  <c r="J31" i="32" s="1"/>
  <c r="G31" i="32"/>
  <c r="E31" i="32"/>
  <c r="H30" i="32"/>
  <c r="J30" i="32" s="1"/>
  <c r="G30" i="32"/>
  <c r="E30" i="32"/>
  <c r="H29" i="32"/>
  <c r="J29" i="32" s="1"/>
  <c r="G29" i="32"/>
  <c r="E29" i="32"/>
  <c r="H28" i="32"/>
  <c r="J28" i="32" s="1"/>
  <c r="G28" i="32"/>
  <c r="E28" i="32"/>
  <c r="H27" i="32"/>
  <c r="J27" i="32" s="1"/>
  <c r="G27" i="32"/>
  <c r="E27" i="32"/>
  <c r="H26" i="32"/>
  <c r="J26" i="32" s="1"/>
  <c r="G26" i="32"/>
  <c r="E26" i="32"/>
  <c r="H25" i="32"/>
  <c r="J25" i="32" s="1"/>
  <c r="G25" i="32"/>
  <c r="E25" i="32"/>
  <c r="H24" i="32"/>
  <c r="J24" i="32" s="1"/>
  <c r="G24" i="32"/>
  <c r="E24" i="32"/>
  <c r="H23" i="32"/>
  <c r="J23" i="32" s="1"/>
  <c r="G23" i="32"/>
  <c r="E23" i="32"/>
  <c r="H22" i="32"/>
  <c r="J22" i="32" s="1"/>
  <c r="G22" i="32"/>
  <c r="E22" i="32"/>
  <c r="H21" i="32"/>
  <c r="J21" i="32" s="1"/>
  <c r="G21" i="32"/>
  <c r="E21" i="32"/>
  <c r="H20" i="32"/>
  <c r="J20" i="32" s="1"/>
  <c r="G20" i="32"/>
  <c r="E20" i="32"/>
  <c r="H19" i="32"/>
  <c r="J19" i="32" s="1"/>
  <c r="G19" i="32"/>
  <c r="E19" i="32"/>
  <c r="H18" i="32"/>
  <c r="J18" i="32" s="1"/>
  <c r="G18" i="32"/>
  <c r="E18" i="32"/>
  <c r="H17" i="32"/>
  <c r="J17" i="32" s="1"/>
  <c r="G17" i="32"/>
  <c r="E17" i="32"/>
  <c r="H16" i="32"/>
  <c r="J16" i="32" s="1"/>
  <c r="G16" i="32"/>
  <c r="E16" i="32"/>
  <c r="H15" i="32"/>
  <c r="J15" i="32" s="1"/>
  <c r="G15" i="32"/>
  <c r="E15" i="32"/>
  <c r="H14" i="32"/>
  <c r="J14" i="32" s="1"/>
  <c r="G14" i="32"/>
  <c r="E14" i="32"/>
  <c r="H11" i="32"/>
  <c r="H10" i="32"/>
  <c r="E10" i="32"/>
  <c r="E11" i="32" s="1"/>
  <c r="E12" i="32" s="1"/>
  <c r="E13" i="32" s="1"/>
  <c r="I8" i="32"/>
  <c r="D8" i="32"/>
  <c r="E76" i="27"/>
  <c r="I47" i="27"/>
  <c r="I46" i="27"/>
  <c r="I45" i="27"/>
  <c r="I44" i="27"/>
  <c r="I43" i="27"/>
  <c r="I42" i="27"/>
  <c r="I41" i="27"/>
  <c r="I40" i="27"/>
  <c r="I39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J12" i="27"/>
  <c r="I12" i="27"/>
  <c r="J11" i="27"/>
  <c r="I11" i="27"/>
  <c r="J10" i="27"/>
  <c r="I10" i="27"/>
  <c r="J9" i="27"/>
  <c r="I9" i="27"/>
  <c r="G9" i="27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F7" i="27"/>
  <c r="D196" i="25"/>
  <c r="I189" i="25" s="1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D140" i="25"/>
  <c r="E133" i="25"/>
  <c r="E132" i="25"/>
  <c r="E131" i="25"/>
  <c r="E130" i="25"/>
  <c r="E129" i="25"/>
  <c r="E128" i="25"/>
  <c r="E127" i="25"/>
  <c r="E126" i="25"/>
  <c r="E125" i="25"/>
  <c r="E124" i="25"/>
  <c r="F23" i="26" s="1"/>
  <c r="I23" i="26" s="1"/>
  <c r="E123" i="25"/>
  <c r="E122" i="25"/>
  <c r="F17" i="26" s="1"/>
  <c r="E98" i="25"/>
  <c r="E97" i="25"/>
  <c r="E96" i="25"/>
  <c r="E95" i="25"/>
  <c r="E94" i="25"/>
  <c r="E39" i="26" s="1"/>
  <c r="E93" i="25"/>
  <c r="E38" i="26" s="1"/>
  <c r="E92" i="25"/>
  <c r="E91" i="25"/>
  <c r="E90" i="25"/>
  <c r="E89" i="25"/>
  <c r="E88" i="25"/>
  <c r="E87" i="25"/>
  <c r="E86" i="25"/>
  <c r="E85" i="25"/>
  <c r="E84" i="25"/>
  <c r="E83" i="25"/>
  <c r="E82" i="25"/>
  <c r="E34" i="26" s="1"/>
  <c r="E81" i="25"/>
  <c r="E33" i="26" s="1"/>
  <c r="E80" i="25"/>
  <c r="E29" i="26" s="1"/>
  <c r="E79" i="25"/>
  <c r="E28" i="26" s="1"/>
  <c r="E78" i="25"/>
  <c r="E25" i="26" s="1"/>
  <c r="E77" i="25"/>
  <c r="E24" i="26" s="1"/>
  <c r="E76" i="25"/>
  <c r="E75" i="25"/>
  <c r="E74" i="25"/>
  <c r="E73" i="25"/>
  <c r="E18" i="26" s="1"/>
  <c r="E72" i="25"/>
  <c r="E16" i="26" s="1"/>
  <c r="E71" i="25"/>
  <c r="E15" i="26" s="1"/>
  <c r="E70" i="25"/>
  <c r="E14" i="26" s="1"/>
  <c r="E69" i="25"/>
  <c r="E13" i="26" s="1"/>
  <c r="E68" i="25"/>
  <c r="E12" i="26" s="1"/>
  <c r="E67" i="25"/>
  <c r="E11" i="26" s="1"/>
  <c r="E66" i="25"/>
  <c r="E10" i="26" s="1"/>
  <c r="E65" i="25"/>
  <c r="E9" i="26" s="1"/>
  <c r="E64" i="25"/>
  <c r="E8" i="26" s="1"/>
  <c r="E63" i="25"/>
  <c r="E7" i="26" s="1"/>
  <c r="E62" i="25"/>
  <c r="E61" i="25"/>
  <c r="E5" i="26" s="1"/>
  <c r="E60" i="25"/>
  <c r="D54" i="25"/>
  <c r="D50" i="25"/>
  <c r="D49" i="25"/>
  <c r="D48" i="25"/>
  <c r="D47" i="25"/>
  <c r="E46" i="25"/>
  <c r="D45" i="25"/>
  <c r="E44" i="25"/>
  <c r="D43" i="25"/>
  <c r="B39" i="25"/>
  <c r="D37" i="25"/>
  <c r="C37" i="25"/>
  <c r="B37" i="25"/>
  <c r="B35" i="25"/>
  <c r="C36" i="25" s="1"/>
  <c r="E5" i="25"/>
  <c r="I61" i="26"/>
  <c r="I60" i="26"/>
  <c r="I59" i="26"/>
  <c r="I58" i="26"/>
  <c r="I57" i="26"/>
  <c r="I56" i="26"/>
  <c r="I55" i="26"/>
  <c r="I54" i="26"/>
  <c r="I53" i="26"/>
  <c r="I52" i="26"/>
  <c r="I51" i="26"/>
  <c r="I50" i="26"/>
  <c r="I49" i="26"/>
  <c r="I48" i="26"/>
  <c r="I47" i="26"/>
  <c r="I46" i="26"/>
  <c r="I45" i="26"/>
  <c r="I44" i="26"/>
  <c r="A43" i="26"/>
  <c r="A42" i="26"/>
  <c r="A41" i="26"/>
  <c r="I40" i="26"/>
  <c r="A40" i="26"/>
  <c r="I39" i="26"/>
  <c r="I38" i="26"/>
  <c r="I37" i="26"/>
  <c r="I36" i="26"/>
  <c r="I35" i="26"/>
  <c r="I34" i="26"/>
  <c r="B34" i="26"/>
  <c r="A34" i="26"/>
  <c r="I33" i="26"/>
  <c r="B33" i="26"/>
  <c r="A33" i="26"/>
  <c r="I32" i="26"/>
  <c r="I31" i="26"/>
  <c r="I30" i="26"/>
  <c r="I29" i="26"/>
  <c r="B29" i="26"/>
  <c r="A29" i="26"/>
  <c r="I28" i="26"/>
  <c r="B28" i="26"/>
  <c r="A28" i="26"/>
  <c r="I27" i="26"/>
  <c r="I26" i="26"/>
  <c r="I25" i="26"/>
  <c r="I24" i="26"/>
  <c r="I22" i="26"/>
  <c r="E22" i="26"/>
  <c r="I21" i="26"/>
  <c r="E21" i="26"/>
  <c r="I20" i="26"/>
  <c r="I19" i="26"/>
  <c r="E19" i="26"/>
  <c r="I18" i="26"/>
  <c r="I16" i="26"/>
  <c r="I15" i="26"/>
  <c r="I14" i="26"/>
  <c r="I13" i="26"/>
  <c r="I12" i="26"/>
  <c r="I10" i="26"/>
  <c r="I9" i="26"/>
  <c r="I8" i="26"/>
  <c r="I7" i="26"/>
  <c r="I6" i="26"/>
  <c r="E6" i="26"/>
  <c r="I5" i="26"/>
  <c r="I4" i="26"/>
  <c r="E55" i="25" l="1"/>
  <c r="C38" i="25"/>
  <c r="D38" i="25"/>
  <c r="E118" i="25"/>
  <c r="F9" i="27"/>
  <c r="F76" i="27" s="1"/>
  <c r="P9" i="27"/>
  <c r="P34" i="27" s="1"/>
  <c r="K9" i="27"/>
  <c r="K76" i="27" s="1"/>
  <c r="L9" i="27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E117" i="25"/>
  <c r="F143" i="26"/>
  <c r="B38" i="25"/>
  <c r="D55" i="25"/>
  <c r="E140" i="25"/>
  <c r="E34" i="32"/>
  <c r="H34" i="32"/>
  <c r="J34" i="32" s="1"/>
  <c r="D10" i="32"/>
  <c r="D34" i="32" s="1"/>
  <c r="I10" i="32"/>
  <c r="I34" i="32" s="1"/>
  <c r="J10" i="32"/>
  <c r="J11" i="32" s="1"/>
  <c r="J12" i="32" s="1"/>
  <c r="J13" i="32" s="1"/>
  <c r="E196" i="25"/>
  <c r="E198" i="25" s="1"/>
  <c r="E202" i="25" s="1"/>
  <c r="E206" i="25" s="1"/>
  <c r="E114" i="25"/>
  <c r="D36" i="25"/>
  <c r="B36" i="25" s="1"/>
  <c r="E116" i="25"/>
  <c r="E4" i="26"/>
  <c r="E143" i="26" s="1"/>
  <c r="I17" i="26"/>
  <c r="I143" i="26" s="1"/>
  <c r="G76" i="27"/>
  <c r="J76" i="27"/>
  <c r="L76" i="27" s="1"/>
  <c r="E72" i="28"/>
  <c r="C78" i="28" s="1"/>
  <c r="E78" i="28" s="1"/>
  <c r="D41" i="28"/>
  <c r="D72" i="28" s="1"/>
  <c r="E79" i="28" l="1"/>
  <c r="E80" i="28" s="1"/>
  <c r="E81" i="28" s="1"/>
  <c r="E82" i="28" s="1"/>
  <c r="E83" i="28" s="1"/>
  <c r="J143" i="26"/>
  <c r="J4" i="26"/>
  <c r="D5" i="26" s="1"/>
  <c r="J5" i="26" s="1"/>
  <c r="D6" i="26" s="1"/>
  <c r="J6" i="26" s="1"/>
  <c r="D7" i="26" s="1"/>
  <c r="J7" i="26" s="1"/>
  <c r="D8" i="26" s="1"/>
  <c r="J8" i="26" s="1"/>
  <c r="D9" i="26" s="1"/>
  <c r="J9" i="26" s="1"/>
  <c r="D10" i="26" s="1"/>
  <c r="J10" i="26" s="1"/>
  <c r="D11" i="26" s="1"/>
  <c r="J11" i="26" s="1"/>
  <c r="D12" i="26" s="1"/>
  <c r="J12" i="26" s="1"/>
  <c r="D13" i="26" s="1"/>
  <c r="J13" i="26" s="1"/>
  <c r="D14" i="26" s="1"/>
  <c r="J14" i="26" s="1"/>
  <c r="D15" i="26" s="1"/>
  <c r="J15" i="26" s="1"/>
  <c r="D16" i="26" s="1"/>
  <c r="J16" i="26" s="1"/>
  <c r="D17" i="26" s="1"/>
  <c r="J17" i="26" s="1"/>
  <c r="D18" i="26" s="1"/>
  <c r="J18" i="26" s="1"/>
  <c r="D19" i="26" s="1"/>
  <c r="J19" i="26" s="1"/>
  <c r="D20" i="26" s="1"/>
  <c r="J20" i="26" s="1"/>
  <c r="D21" i="26" s="1"/>
  <c r="J21" i="26" s="1"/>
  <c r="D22" i="26" s="1"/>
  <c r="J22" i="26" s="1"/>
  <c r="D23" i="26" s="1"/>
  <c r="J23" i="26" s="1"/>
  <c r="D24" i="26" s="1"/>
  <c r="J24" i="26" s="1"/>
  <c r="D25" i="26" s="1"/>
  <c r="J25" i="26" s="1"/>
  <c r="D26" i="26" s="1"/>
  <c r="J26" i="26" s="1"/>
  <c r="D27" i="26" s="1"/>
  <c r="J27" i="26" s="1"/>
  <c r="D28" i="26" s="1"/>
  <c r="J28" i="26" s="1"/>
  <c r="D29" i="26" s="1"/>
  <c r="J29" i="26" s="1"/>
  <c r="D30" i="26" s="1"/>
  <c r="J30" i="26" s="1"/>
  <c r="D31" i="26" s="1"/>
  <c r="J31" i="26" s="1"/>
  <c r="D32" i="26" s="1"/>
  <c r="J32" i="26" s="1"/>
  <c r="D33" i="26" s="1"/>
  <c r="J33" i="26" s="1"/>
  <c r="D34" i="26" s="1"/>
  <c r="J34" i="26" s="1"/>
  <c r="D35" i="26" s="1"/>
  <c r="J35" i="26" s="1"/>
  <c r="D36" i="26" s="1"/>
  <c r="J36" i="26" s="1"/>
  <c r="D37" i="26" s="1"/>
  <c r="J37" i="26" s="1"/>
  <c r="D38" i="26" s="1"/>
  <c r="J38" i="26" s="1"/>
  <c r="D39" i="26" s="1"/>
  <c r="J39" i="26" s="1"/>
  <c r="D40" i="26" s="1"/>
  <c r="J40" i="26" s="1"/>
  <c r="D41" i="26" s="1"/>
  <c r="J41" i="26" s="1"/>
  <c r="D42" i="26" s="1"/>
  <c r="J42" i="26" s="1"/>
  <c r="D43" i="26" s="1"/>
  <c r="J43" i="26" s="1"/>
  <c r="D44" i="26" s="1"/>
  <c r="J44" i="26" s="1"/>
  <c r="D45" i="26" s="1"/>
  <c r="J45" i="26" s="1"/>
  <c r="D46" i="26" s="1"/>
  <c r="J46" i="26" s="1"/>
  <c r="D47" i="26" s="1"/>
  <c r="J47" i="26" s="1"/>
  <c r="D48" i="26" s="1"/>
  <c r="J48" i="26" s="1"/>
  <c r="D49" i="26" s="1"/>
  <c r="J49" i="26" s="1"/>
  <c r="D50" i="26" s="1"/>
  <c r="J50" i="26" s="1"/>
  <c r="D51" i="26" s="1"/>
  <c r="J51" i="26" s="1"/>
  <c r="D52" i="26" s="1"/>
  <c r="J52" i="26" s="1"/>
  <c r="D53" i="26" s="1"/>
  <c r="J53" i="26" s="1"/>
  <c r="D54" i="26" s="1"/>
  <c r="J54" i="26" s="1"/>
  <c r="D55" i="26" s="1"/>
  <c r="J55" i="26" s="1"/>
  <c r="D56" i="26" s="1"/>
  <c r="J56" i="26" s="1"/>
  <c r="D57" i="26" s="1"/>
  <c r="J57" i="26" s="1"/>
  <c r="D58" i="26" s="1"/>
  <c r="J58" i="26" s="1"/>
  <c r="D59" i="26" s="1"/>
  <c r="J59" i="26" s="1"/>
  <c r="D60" i="26" s="1"/>
  <c r="J60" i="26" s="1"/>
  <c r="D61" i="26" s="1"/>
  <c r="J61" i="26" s="1"/>
  <c r="D62" i="26" s="1"/>
  <c r="J62" i="26" s="1"/>
  <c r="D63" i="26" s="1"/>
  <c r="J63" i="26" s="1"/>
  <c r="D64" i="26" s="1"/>
  <c r="J64" i="26" s="1"/>
  <c r="D65" i="26" s="1"/>
  <c r="J65" i="26" s="1"/>
  <c r="D66" i="26" s="1"/>
  <c r="J66" i="26" s="1"/>
  <c r="D67" i="26" s="1"/>
  <c r="J67" i="26" s="1"/>
  <c r="D68" i="26" s="1"/>
  <c r="J68" i="26" s="1"/>
  <c r="D69" i="26" s="1"/>
  <c r="J69" i="26" s="1"/>
  <c r="D70" i="26" s="1"/>
  <c r="J70" i="26" s="1"/>
  <c r="D71" i="26" s="1"/>
  <c r="J71" i="26" s="1"/>
  <c r="D72" i="26" s="1"/>
  <c r="J72" i="26" s="1"/>
  <c r="D73" i="26" s="1"/>
  <c r="J73" i="26" s="1"/>
  <c r="D74" i="26" s="1"/>
  <c r="J74" i="26" s="1"/>
  <c r="D75" i="26" s="1"/>
  <c r="J75" i="26" s="1"/>
  <c r="D76" i="26" s="1"/>
  <c r="J76" i="26" s="1"/>
  <c r="D77" i="26" s="1"/>
  <c r="J77" i="26" s="1"/>
  <c r="D78" i="26" s="1"/>
  <c r="J78" i="26" s="1"/>
  <c r="D79" i="26" s="1"/>
  <c r="J79" i="26" s="1"/>
  <c r="D80" i="26" s="1"/>
  <c r="J80" i="26" s="1"/>
  <c r="D81" i="26" s="1"/>
  <c r="J81" i="26" s="1"/>
  <c r="D82" i="26" s="1"/>
  <c r="J82" i="26" s="1"/>
  <c r="D83" i="26" s="1"/>
  <c r="J83" i="26" s="1"/>
  <c r="D84" i="26" s="1"/>
  <c r="J84" i="26" s="1"/>
  <c r="D85" i="26" s="1"/>
  <c r="J85" i="26" s="1"/>
  <c r="D86" i="26" s="1"/>
  <c r="J86" i="26" s="1"/>
  <c r="D87" i="26" s="1"/>
  <c r="J87" i="26" s="1"/>
  <c r="D88" i="26" s="1"/>
  <c r="J88" i="26" s="1"/>
  <c r="D89" i="26" s="1"/>
  <c r="J89" i="26" s="1"/>
  <c r="D90" i="26" s="1"/>
  <c r="J90" i="26" s="1"/>
  <c r="D91" i="26" s="1"/>
  <c r="J91" i="26" s="1"/>
  <c r="D92" i="26" s="1"/>
  <c r="J92" i="26" s="1"/>
  <c r="D93" i="26" s="1"/>
  <c r="J93" i="26" s="1"/>
  <c r="D94" i="26" s="1"/>
  <c r="J94" i="26" s="1"/>
  <c r="D95" i="26" s="1"/>
  <c r="J95" i="26" s="1"/>
  <c r="D96" i="26" s="1"/>
  <c r="J96" i="26" s="1"/>
  <c r="D97" i="26" s="1"/>
  <c r="J97" i="26" s="1"/>
  <c r="D98" i="26" s="1"/>
  <c r="J98" i="26" s="1"/>
  <c r="D99" i="26" s="1"/>
  <c r="J99" i="26" s="1"/>
  <c r="D100" i="26" s="1"/>
  <c r="J100" i="26" s="1"/>
  <c r="D101" i="26" s="1"/>
  <c r="J101" i="26" s="1"/>
  <c r="D102" i="26" s="1"/>
  <c r="J102" i="26" s="1"/>
  <c r="D103" i="26" s="1"/>
  <c r="J103" i="26" s="1"/>
  <c r="D104" i="26" s="1"/>
  <c r="J104" i="26" s="1"/>
  <c r="D105" i="26" s="1"/>
  <c r="J105" i="26" s="1"/>
  <c r="D106" i="26" s="1"/>
  <c r="J106" i="26" s="1"/>
  <c r="D107" i="26" s="1"/>
  <c r="J107" i="26" s="1"/>
  <c r="D108" i="26" s="1"/>
  <c r="J108" i="26" s="1"/>
  <c r="D109" i="26" s="1"/>
  <c r="J109" i="26" s="1"/>
  <c r="D110" i="26" s="1"/>
  <c r="J110" i="26" s="1"/>
  <c r="D111" i="26" s="1"/>
  <c r="J111" i="26" s="1"/>
  <c r="D112" i="26" s="1"/>
  <c r="J112" i="26" s="1"/>
  <c r="D113" i="26" s="1"/>
  <c r="J113" i="26" s="1"/>
  <c r="D114" i="26" s="1"/>
  <c r="J114" i="26" s="1"/>
  <c r="D115" i="26" s="1"/>
  <c r="J115" i="26" s="1"/>
  <c r="D116" i="26" s="1"/>
  <c r="J116" i="26" s="1"/>
  <c r="D117" i="26" s="1"/>
  <c r="J117" i="26" s="1"/>
  <c r="D118" i="26" s="1"/>
  <c r="J118" i="26" s="1"/>
  <c r="D119" i="26" s="1"/>
  <c r="J119" i="26" s="1"/>
  <c r="D120" i="26" s="1"/>
  <c r="J120" i="26" s="1"/>
  <c r="D121" i="26" s="1"/>
  <c r="J121" i="26" s="1"/>
  <c r="D122" i="26" s="1"/>
  <c r="J122" i="26" s="1"/>
  <c r="D123" i="26" s="1"/>
  <c r="J123" i="26" s="1"/>
  <c r="D124" i="26" s="1"/>
  <c r="J124" i="26" s="1"/>
  <c r="D125" i="26" s="1"/>
  <c r="J125" i="26" s="1"/>
  <c r="D126" i="26" s="1"/>
  <c r="J126" i="26" s="1"/>
  <c r="D127" i="26" s="1"/>
  <c r="J127" i="26" s="1"/>
  <c r="D128" i="26" s="1"/>
  <c r="J128" i="26" s="1"/>
  <c r="D129" i="26" s="1"/>
  <c r="J129" i="26" s="1"/>
  <c r="D130" i="26" s="1"/>
  <c r="J130" i="26" s="1"/>
  <c r="D131" i="26" s="1"/>
  <c r="J131" i="26" s="1"/>
  <c r="D132" i="26" s="1"/>
  <c r="J132" i="26" s="1"/>
  <c r="D133" i="26" s="1"/>
  <c r="J133" i="26" s="1"/>
  <c r="D134" i="26" s="1"/>
  <c r="J134" i="26" s="1"/>
  <c r="D135" i="26" s="1"/>
  <c r="J135" i="26" s="1"/>
  <c r="D136" i="26" s="1"/>
  <c r="J136" i="26" s="1"/>
  <c r="D137" i="26" s="1"/>
  <c r="J137" i="26" s="1"/>
  <c r="D138" i="26" s="1"/>
  <c r="J138" i="26" s="1"/>
  <c r="D139" i="26" s="1"/>
  <c r="J139" i="26" s="1"/>
  <c r="D140" i="26" s="1"/>
  <c r="J140" i="26" s="1"/>
  <c r="D141" i="26" s="1"/>
  <c r="J141" i="26" s="1"/>
  <c r="D142" i="26" s="1"/>
  <c r="J142" i="26" s="1"/>
  <c r="E200" i="25"/>
  <c r="F200" i="25" s="1"/>
  <c r="E91" i="28"/>
  <c r="D78" i="28"/>
  <c r="D9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0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 Saulo Oliveros</t>
        </r>
        <r>
          <rPr>
            <sz val="9"/>
            <color indexed="81"/>
            <rFont val="Tahoma"/>
            <family val="2"/>
          </rPr>
          <t xml:space="preserve">
Incluye rendimientos no reembolsados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Aporte IDEA en especie</t>
        </r>
      </text>
    </comment>
    <comment ref="C4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Saulo:
</t>
        </r>
        <r>
          <rPr>
            <sz val="9"/>
            <color indexed="81"/>
            <rFont val="Tahoma"/>
            <family val="2"/>
          </rPr>
          <t>Recursos de vigencia 2024</t>
        </r>
      </text>
    </comment>
    <comment ref="C7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Saulo: </t>
        </r>
        <r>
          <rPr>
            <sz val="9"/>
            <color indexed="81"/>
            <rFont val="Tahoma"/>
            <family val="2"/>
          </rPr>
          <t>Recursos de la vigencia 2025</t>
        </r>
      </text>
    </comment>
  </commentList>
</comments>
</file>

<file path=xl/sharedStrings.xml><?xml version="1.0" encoding="utf-8"?>
<sst xmlns="http://schemas.openxmlformats.org/spreadsheetml/2006/main" count="420" uniqueCount="210">
  <si>
    <t>Cuenta Número 10000892 (Informe ejecución y rendimientos)</t>
  </si>
  <si>
    <t>Cuenta ahorros</t>
  </si>
  <si>
    <t>Fecha</t>
  </si>
  <si>
    <t>(+) Depositos (Gobernación de Antioquia)</t>
  </si>
  <si>
    <t>SALDO INICIAL</t>
  </si>
  <si>
    <t>(+) Rendimientos</t>
  </si>
  <si>
    <t>(-) Retiros por reintegro 
rendimientos</t>
  </si>
  <si>
    <t>(-) Ejecucion Convenio (Pagos Contrato Delegado)</t>
  </si>
  <si>
    <t xml:space="preserve">(-) Total Retiros </t>
  </si>
  <si>
    <t>SALDO FINAL</t>
  </si>
  <si>
    <t>Contigo Antioquia</t>
  </si>
  <si>
    <t>Otrosí - CRUE</t>
  </si>
  <si>
    <t>31/04/2025</t>
  </si>
  <si>
    <t>100015699
100015700</t>
  </si>
  <si>
    <t>10/02/2026 </t>
  </si>
  <si>
    <t>TOTALES</t>
  </si>
  <si>
    <t>Convenio: 4600017482/0231 de 2024</t>
  </si>
  <si>
    <t>Objeto:</t>
  </si>
  <si>
    <t>"Aunar esfuerzos en la constitución de un fondo especial de recursos, para Implementar estrategias para la transformación digital en el Departamento de Antioquia – Secretaría Seccional de Salud y Protección Social."</t>
  </si>
  <si>
    <t>Fecha de Suscripcion:</t>
  </si>
  <si>
    <t>Fecha de Inicio:</t>
  </si>
  <si>
    <t>Plazo:</t>
  </si>
  <si>
    <t>Meses</t>
  </si>
  <si>
    <t>Días</t>
  </si>
  <si>
    <t>Fecha de Terminación:</t>
  </si>
  <si>
    <t>Otrosí 1:</t>
  </si>
  <si>
    <t>Adición de recursos:</t>
  </si>
  <si>
    <t>Disponibilidad Presupuestal</t>
  </si>
  <si>
    <t>FECHA CREACIÓN</t>
  </si>
  <si>
    <t xml:space="preserve">VIGENCIA </t>
  </si>
  <si>
    <t xml:space="preserve">VALOR </t>
  </si>
  <si>
    <t>RESPALDO PRESUPUESTAL</t>
  </si>
  <si>
    <t>CDP 3500054749</t>
  </si>
  <si>
    <t>Certificado de vigencia futura No. 6000003088</t>
  </si>
  <si>
    <t>Certificado de vigencia futura No. 6000003093</t>
  </si>
  <si>
    <t>Certificado de vigencia futura No. 6000003098</t>
  </si>
  <si>
    <t>Certificado de vigencia futura No. 6000003103</t>
  </si>
  <si>
    <t>Certificado de vigencia futura No. 6000003089</t>
  </si>
  <si>
    <t>Certificado de vigencia futura No. 6000003094</t>
  </si>
  <si>
    <t>Certificado de vigencia futura No. 6000003099</t>
  </si>
  <si>
    <t>Certificado de vigencia futura No. 6000003104</t>
  </si>
  <si>
    <t>Certificado de vigencia futura No. 6000003090</t>
  </si>
  <si>
    <t>Certificado de vigencia futura No. 6000003095</t>
  </si>
  <si>
    <t>Certificado de vigencia futura No. 6000003100</t>
  </si>
  <si>
    <t>Certificado de vigencia futura No. 6000003105</t>
  </si>
  <si>
    <t>Supervisor:</t>
  </si>
  <si>
    <t>David Fernando Arisitizábal Serna</t>
  </si>
  <si>
    <t>Identificación</t>
  </si>
  <si>
    <t>Dependencia:</t>
  </si>
  <si>
    <t>Secretaría de Salud e Inclusión Social</t>
  </si>
  <si>
    <t>Fuente de Financiación:</t>
  </si>
  <si>
    <t>Transformación Digital en Salud</t>
  </si>
  <si>
    <t>Encargo fiduciario</t>
  </si>
  <si>
    <t>Cuenta encargo</t>
  </si>
  <si>
    <t>Cuenta rendimientos</t>
  </si>
  <si>
    <t>Banco:</t>
  </si>
  <si>
    <t>IDEA</t>
  </si>
  <si>
    <t>Estado cuenta:</t>
  </si>
  <si>
    <t>Activa</t>
  </si>
  <si>
    <t>VALOR CONVENIO</t>
  </si>
  <si>
    <t>Aportantes</t>
  </si>
  <si>
    <t>Aportes totales</t>
  </si>
  <si>
    <t>Gobernación de Antioquia
Secretaría de Salud e Inclusión social</t>
  </si>
  <si>
    <t>IDEA
Costos operativos
(Aportes en especie)</t>
  </si>
  <si>
    <t>Aporte total</t>
  </si>
  <si>
    <t>Totales %</t>
  </si>
  <si>
    <t>Aporte total (recursos liquidos)</t>
  </si>
  <si>
    <t>Subtotales %</t>
  </si>
  <si>
    <t>TOTAL VALOR DEL CONVENIO</t>
  </si>
  <si>
    <t>APORTES REALIZADOS</t>
  </si>
  <si>
    <t>Documento - Fecha</t>
  </si>
  <si>
    <t>Fecha de Consiganción</t>
  </si>
  <si>
    <t>Valor</t>
  </si>
  <si>
    <t>Acta de inicio 24/10/2024</t>
  </si>
  <si>
    <t>Otrosí No. 1</t>
  </si>
  <si>
    <t>RENDIMIENTOS FINANCIEROS</t>
  </si>
  <si>
    <t>Periodo Rendimiento</t>
  </si>
  <si>
    <t>TOTAL POR CUENTA</t>
  </si>
  <si>
    <t>Cuenta ahorros 100015699</t>
  </si>
  <si>
    <t>Cuenta ahorros 100015700</t>
  </si>
  <si>
    <t>Cuenta ahorros 100015716</t>
  </si>
  <si>
    <t>REINTEGRO RENDIMIENTOS FINANCIEROS</t>
  </si>
  <si>
    <t># Reintegro Rendimientos</t>
  </si>
  <si>
    <t>Soporte</t>
  </si>
  <si>
    <t>Reintegro Nro. 01</t>
  </si>
  <si>
    <t>Reintegro Nro. 02</t>
  </si>
  <si>
    <t>Reintegro Nro. 03</t>
  </si>
  <si>
    <t>Reintegro Nro. 04</t>
  </si>
  <si>
    <t>Reintegro Nro. 05</t>
  </si>
  <si>
    <t>Reintegro Nro. 06</t>
  </si>
  <si>
    <t>Reintegro Nro. 07</t>
  </si>
  <si>
    <t>Reintegro Nro. 08</t>
  </si>
  <si>
    <t>Reintegro Nro. 09</t>
  </si>
  <si>
    <t>Reintegro Nro. 10</t>
  </si>
  <si>
    <t>Reintegro Nro. 11</t>
  </si>
  <si>
    <t>Reintegro Nro. 12</t>
  </si>
  <si>
    <t>EJECUCIÓN</t>
  </si>
  <si>
    <t>PAGOS POR CONTRATO DERIVADO #</t>
  </si>
  <si>
    <t># Pago</t>
  </si>
  <si>
    <t xml:space="preserve">Valor </t>
  </si>
  <si>
    <t>Factura V1460</t>
  </si>
  <si>
    <t>Cuanta de Cobro 229</t>
  </si>
  <si>
    <t>Factura V1519</t>
  </si>
  <si>
    <t>Cuanta de Cobro 259</t>
  </si>
  <si>
    <t>Cuanta de Cobro 261</t>
  </si>
  <si>
    <t>Factura V1554</t>
  </si>
  <si>
    <t>Factura V1561</t>
  </si>
  <si>
    <t>Factura V1598</t>
  </si>
  <si>
    <t>Factura V1600</t>
  </si>
  <si>
    <t>Cuenta de Cobro 291</t>
  </si>
  <si>
    <t>Cuenta de Cobro 320</t>
  </si>
  <si>
    <t>Cuenta de Cobro 321</t>
  </si>
  <si>
    <t>Factura V1633 </t>
  </si>
  <si>
    <t>Factura V1634 </t>
  </si>
  <si>
    <t>Cuenta de Cobro 378 </t>
  </si>
  <si>
    <t>Factura V1741 </t>
  </si>
  <si>
    <t>Factura V1740 </t>
  </si>
  <si>
    <t> Cuenta de cobro 377 </t>
  </si>
  <si>
    <t>Factura V1756</t>
  </si>
  <si>
    <t>Factura V1757</t>
  </si>
  <si>
    <t>Cuenta de cobro 384</t>
  </si>
  <si>
    <r>
      <t>Cuenta de cobro 400</t>
    </r>
    <r>
      <rPr>
        <sz val="8"/>
        <color rgb="FF000000"/>
        <rFont val="Arial"/>
        <family val="2"/>
      </rPr>
      <t> </t>
    </r>
  </si>
  <si>
    <t>10/03/2026 </t>
  </si>
  <si>
    <r>
      <t>Factura V1808</t>
    </r>
    <r>
      <rPr>
        <sz val="8"/>
        <color rgb="FF000000"/>
        <rFont val="Arial"/>
        <family val="2"/>
      </rPr>
      <t> </t>
    </r>
  </si>
  <si>
    <t>11/03/2026 </t>
  </si>
  <si>
    <r>
      <t>Factura V1809</t>
    </r>
    <r>
      <rPr>
        <sz val="8"/>
        <color rgb="FF000000"/>
        <rFont val="Arial"/>
        <family val="2"/>
      </rPr>
      <t> </t>
    </r>
  </si>
  <si>
    <t>Cuenta de cobro 419</t>
  </si>
  <si>
    <t>Cuenta de cobro 420</t>
  </si>
  <si>
    <t>Cuenta de cobro 421</t>
  </si>
  <si>
    <t>Factura V1851</t>
  </si>
  <si>
    <t>Factura V1852</t>
  </si>
  <si>
    <t>Cuenta de cobro 443 </t>
  </si>
  <si>
    <t>Factura V1938 </t>
  </si>
  <si>
    <t>Cuenta de cobro 448 </t>
  </si>
  <si>
    <t>Factura V1941 </t>
  </si>
  <si>
    <t>Cuenta de cobro 444 </t>
  </si>
  <si>
    <t>Factura V1939 </t>
  </si>
  <si>
    <t>Factura V1937 </t>
  </si>
  <si>
    <t>Cuenta de cobro 449 </t>
  </si>
  <si>
    <t>Factura V1940 </t>
  </si>
  <si>
    <t>Factura V1942 </t>
  </si>
  <si>
    <t>Cuenta de Cobro 457</t>
  </si>
  <si>
    <t>Factura V1979</t>
  </si>
  <si>
    <t>Cuenta de Cobro 456</t>
  </si>
  <si>
    <t>Factura V1978</t>
  </si>
  <si>
    <t>Factura V1980</t>
  </si>
  <si>
    <t>Pagos Valor +</t>
  </si>
  <si>
    <t>TOTAL EJECUCIÓN CONTRATO DERIVADO</t>
  </si>
  <si>
    <t>SALDOS RECURSOS ADMINISTRADOS</t>
  </si>
  <si>
    <t>POR EJECUTAR CONTRATO DERIVADO</t>
  </si>
  <si>
    <t>Ejecución Recursos Contigo Antioquia: Secrataría de Salud e Inclusión Social</t>
  </si>
  <si>
    <t>Componente</t>
  </si>
  <si>
    <t>Recursos comprometidos</t>
  </si>
  <si>
    <t>Contigo Antioquia Salud - CAS</t>
  </si>
  <si>
    <t>Contigo Antioquia Salud - CRUE</t>
  </si>
  <si>
    <t>Valor Total Contrato</t>
  </si>
  <si>
    <t>Ejecución de Recursos Transferidos al IDEA</t>
  </si>
  <si>
    <t>Recursos Transferidos al IDEA</t>
  </si>
  <si>
    <t>Ejecución Financiera Valor +</t>
  </si>
  <si>
    <t>Sin ejecución</t>
  </si>
  <si>
    <t>Valor Transferido IDEA</t>
  </si>
  <si>
    <t>CAS</t>
  </si>
  <si>
    <t>12/08/2025  </t>
  </si>
  <si>
    <t>02/09/2025  </t>
  </si>
  <si>
    <t>16/09/2025  </t>
  </si>
  <si>
    <t>CRUE</t>
  </si>
  <si>
    <t>23/10/2025  </t>
  </si>
  <si>
    <t>25/11/2025  </t>
  </si>
  <si>
    <t>02/12/2025 </t>
  </si>
  <si>
    <t>03/12/2025 </t>
  </si>
  <si>
    <t>16/01/2026 </t>
  </si>
  <si>
    <t>19/01/2026 </t>
  </si>
  <si>
    <t>Cuenta de cobro 400 </t>
  </si>
  <si>
    <t>Factura V1808 </t>
  </si>
  <si>
    <t>Factura V1809 </t>
  </si>
  <si>
    <t>Total Recursos</t>
  </si>
  <si>
    <t>Cuenta de Cobro 466</t>
  </si>
  <si>
    <t>Factura V2016</t>
  </si>
  <si>
    <t>Cuenta de Cobro</t>
  </si>
  <si>
    <t>Factura V</t>
  </si>
  <si>
    <t>Total Ejecutado</t>
  </si>
  <si>
    <t>Aportes Fondo: IDEA + GobAnt</t>
  </si>
  <si>
    <t>30/30/2025</t>
  </si>
  <si>
    <t>Total Recursos Fondo GobAnt + IDEA</t>
  </si>
  <si>
    <t>Fecha aporte</t>
  </si>
  <si>
    <t>Aportes realizados</t>
  </si>
  <si>
    <t>Sin Ejecutar</t>
  </si>
  <si>
    <t>Aportes en especie IDEA</t>
  </si>
  <si>
    <t>Aportes entregados</t>
  </si>
  <si>
    <t>Ejecución Recursos Contigo Antioquia (CRUE)</t>
  </si>
  <si>
    <t>Valor Transferido</t>
  </si>
  <si>
    <t>Total Recursos Entregados</t>
  </si>
  <si>
    <t>Ejecución Financiera Fondo GobAnt + IDEA (Otrosí CRUE)</t>
  </si>
  <si>
    <t>Ejecución Financiera Fondo GobAnt + IDEA (CAS)</t>
  </si>
  <si>
    <t>Ejecución Financiera Fondo GobAnt</t>
  </si>
  <si>
    <t>Ejecución Financiera</t>
  </si>
  <si>
    <t>Mayo</t>
  </si>
  <si>
    <t>Fecha informe</t>
  </si>
  <si>
    <t>#</t>
  </si>
  <si>
    <t>Ejecución</t>
  </si>
  <si>
    <t>Total informes</t>
  </si>
  <si>
    <t>Recursos vigencia 2026</t>
  </si>
  <si>
    <t>Recuros Transferidos</t>
  </si>
  <si>
    <t>Total</t>
  </si>
  <si>
    <t>Recuros por transferir:</t>
  </si>
  <si>
    <t>Factura V1939</t>
  </si>
  <si>
    <t>Reintegro Nro. 13</t>
  </si>
  <si>
    <t>Reintegro Nro. 14</t>
  </si>
  <si>
    <t>Reintegro Nro. 15</t>
  </si>
  <si>
    <t>31/6/2026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</si>
</sst>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* #,##0_-;\-* #,##0_-;_-* &quot;-&quot;??_-;_-@_-"/>
    <numFmt numFmtId="167" formatCode="_(* #,##0_);_(* \(#,##0\);_(* &quot;-&quot;??_);_(@_)"/>
    <numFmt numFmtId="168" formatCode="dd/mm/yyyy;@"/>
    <numFmt numFmtId="169" formatCode="0.000%"/>
    <numFmt numFmtId="170" formatCode="0.0000%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 Narrow"/>
    </font>
    <font>
      <b/>
      <sz val="11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2"/>
      <color theme="9" tint="0.79998168889431442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3">
    <xf numFmtId="0" fontId="0" fillId="0" borderId="0" xfId="0"/>
    <xf numFmtId="3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3" fillId="5" borderId="1" xfId="1" applyNumberFormat="1" applyFont="1" applyFill="1" applyBorder="1" applyAlignment="1">
      <alignment vertical="center"/>
    </xf>
    <xf numFmtId="165" fontId="3" fillId="4" borderId="3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167" fontId="3" fillId="0" borderId="0" xfId="0" applyNumberFormat="1" applyFont="1" applyAlignment="1">
      <alignment vertical="center"/>
    </xf>
    <xf numFmtId="165" fontId="5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Continuous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0" fontId="12" fillId="0" borderId="0" xfId="0" applyFont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3" fillId="2" borderId="0" xfId="0" applyFont="1" applyFill="1" applyAlignment="1">
      <alignment horizontal="centerContinuous" vertical="center"/>
    </xf>
    <xf numFmtId="3" fontId="12" fillId="0" borderId="1" xfId="0" applyNumberFormat="1" applyFont="1" applyBorder="1" applyAlignment="1">
      <alignment vertical="center"/>
    </xf>
    <xf numFmtId="166" fontId="11" fillId="0" borderId="1" xfId="2" applyNumberFormat="1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10" fontId="11" fillId="0" borderId="1" xfId="3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4" fontId="11" fillId="0" borderId="1" xfId="0" applyNumberFormat="1" applyFont="1" applyBorder="1" applyAlignment="1">
      <alignment vertical="center"/>
    </xf>
    <xf numFmtId="10" fontId="11" fillId="0" borderId="0" xfId="3" applyNumberFormat="1" applyFont="1" applyAlignment="1">
      <alignment vertical="center"/>
    </xf>
    <xf numFmtId="3" fontId="12" fillId="0" borderId="1" xfId="0" applyNumberFormat="1" applyFont="1" applyBorder="1" applyAlignment="1">
      <alignment horizontal="centerContinuous" vertical="center"/>
    </xf>
    <xf numFmtId="165" fontId="12" fillId="7" borderId="1" xfId="1" applyNumberFormat="1" applyFont="1" applyFill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165" fontId="12" fillId="4" borderId="1" xfId="1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Continuous" vertical="center"/>
    </xf>
    <xf numFmtId="3" fontId="11" fillId="0" borderId="1" xfId="0" applyNumberFormat="1" applyFont="1" applyBorder="1" applyAlignment="1">
      <alignment horizontal="centerContinuous" vertical="center"/>
    </xf>
    <xf numFmtId="0" fontId="13" fillId="2" borderId="1" xfId="0" applyFont="1" applyFill="1" applyBorder="1" applyAlignment="1">
      <alignment horizontal="centerContinuous" vertical="center"/>
    </xf>
    <xf numFmtId="4" fontId="13" fillId="2" borderId="1" xfId="0" applyNumberFormat="1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5" fontId="5" fillId="4" borderId="1" xfId="1" applyNumberFormat="1" applyFont="1" applyFill="1" applyBorder="1" applyAlignment="1">
      <alignment vertical="center"/>
    </xf>
    <xf numFmtId="0" fontId="14" fillId="4" borderId="0" xfId="0" applyFont="1" applyFill="1" applyAlignment="1">
      <alignment horizontal="left" vertical="center"/>
    </xf>
    <xf numFmtId="165" fontId="14" fillId="4" borderId="0" xfId="1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166" fontId="5" fillId="3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5" fontId="3" fillId="8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vertical="center"/>
    </xf>
    <xf numFmtId="3" fontId="3" fillId="6" borderId="1" xfId="0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vertical="center"/>
    </xf>
    <xf numFmtId="165" fontId="3" fillId="10" borderId="1" xfId="1" applyNumberFormat="1" applyFont="1" applyFill="1" applyBorder="1" applyAlignment="1">
      <alignment vertical="center"/>
    </xf>
    <xf numFmtId="165" fontId="3" fillId="9" borderId="1" xfId="1" applyNumberFormat="1" applyFont="1" applyFill="1" applyBorder="1" applyAlignment="1">
      <alignment vertical="center"/>
    </xf>
    <xf numFmtId="165" fontId="12" fillId="0" borderId="1" xfId="1" applyNumberFormat="1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3" fontId="16" fillId="11" borderId="1" xfId="0" applyNumberFormat="1" applyFont="1" applyFill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65" fontId="3" fillId="12" borderId="1" xfId="1" applyNumberFormat="1" applyFont="1" applyFill="1" applyBorder="1" applyAlignment="1">
      <alignment vertical="center"/>
    </xf>
    <xf numFmtId="165" fontId="3" fillId="0" borderId="0" xfId="0" applyNumberFormat="1" applyFont="1" applyAlignment="1">
      <alignment vertical="center"/>
    </xf>
    <xf numFmtId="8" fontId="19" fillId="0" borderId="0" xfId="0" applyNumberFormat="1" applyFont="1" applyAlignment="1">
      <alignment horizontal="center"/>
    </xf>
    <xf numFmtId="165" fontId="3" fillId="13" borderId="1" xfId="1" applyNumberFormat="1" applyFont="1" applyFill="1" applyBorder="1" applyAlignment="1">
      <alignment vertical="center"/>
    </xf>
    <xf numFmtId="3" fontId="0" fillId="0" borderId="0" xfId="0" applyNumberForma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165" fontId="3" fillId="14" borderId="1" xfId="1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20" fillId="0" borderId="1" xfId="0" applyNumberFormat="1" applyFont="1" applyBorder="1" applyAlignment="1">
      <alignment horizontal="center" vertical="center"/>
    </xf>
    <xf numFmtId="14" fontId="20" fillId="14" borderId="1" xfId="0" applyNumberFormat="1" applyFont="1" applyFill="1" applyBorder="1" applyAlignment="1">
      <alignment horizontal="center" vertical="center"/>
    </xf>
    <xf numFmtId="3" fontId="20" fillId="14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0" fontId="20" fillId="0" borderId="0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Continuous" vertical="center" wrapText="1"/>
    </xf>
    <xf numFmtId="1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5" fillId="4" borderId="1" xfId="0" applyFont="1" applyFill="1" applyBorder="1" applyAlignment="1">
      <alignment horizontal="centerContinuous" vertical="center"/>
    </xf>
    <xf numFmtId="165" fontId="5" fillId="7" borderId="1" xfId="1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horizontal="centerContinuous" vertical="center"/>
    </xf>
    <xf numFmtId="168" fontId="8" fillId="0" borderId="1" xfId="0" applyNumberFormat="1" applyFon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Continuous" vertical="center"/>
    </xf>
    <xf numFmtId="3" fontId="5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3" fontId="0" fillId="0" borderId="6" xfId="0" applyNumberFormat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0" fontId="18" fillId="0" borderId="1" xfId="3" applyNumberFormat="1" applyFont="1" applyFill="1" applyBorder="1"/>
    <xf numFmtId="0" fontId="18" fillId="0" borderId="1" xfId="0" applyFont="1" applyBorder="1"/>
    <xf numFmtId="14" fontId="18" fillId="0" borderId="1" xfId="0" applyNumberFormat="1" applyFont="1" applyBorder="1" applyAlignment="1">
      <alignment horizontal="center"/>
    </xf>
    <xf numFmtId="10" fontId="18" fillId="9" borderId="1" xfId="3" applyNumberFormat="1" applyFont="1" applyFill="1" applyBorder="1"/>
    <xf numFmtId="0" fontId="18" fillId="9" borderId="1" xfId="0" applyFont="1" applyFill="1" applyBorder="1"/>
    <xf numFmtId="14" fontId="18" fillId="9" borderId="1" xfId="0" applyNumberFormat="1" applyFont="1" applyFill="1" applyBorder="1" applyAlignment="1">
      <alignment horizontal="center"/>
    </xf>
    <xf numFmtId="10" fontId="18" fillId="0" borderId="0" xfId="3" applyNumberFormat="1" applyFont="1"/>
    <xf numFmtId="0" fontId="20" fillId="0" borderId="0" xfId="0" applyFont="1" applyAlignment="1">
      <alignment wrapText="1"/>
    </xf>
    <xf numFmtId="0" fontId="24" fillId="0" borderId="1" xfId="0" applyFont="1" applyBorder="1" applyAlignment="1">
      <alignment horizontal="center" vertical="center" wrapText="1"/>
    </xf>
    <xf numFmtId="14" fontId="20" fillId="14" borderId="1" xfId="0" applyNumberFormat="1" applyFont="1" applyFill="1" applyBorder="1" applyAlignment="1">
      <alignment horizontal="center" vertical="center" wrapText="1"/>
    </xf>
    <xf numFmtId="3" fontId="20" fillId="14" borderId="1" xfId="0" applyNumberFormat="1" applyFont="1" applyFill="1" applyBorder="1" applyAlignment="1">
      <alignment horizontal="right" vertical="center" wrapText="1"/>
    </xf>
    <xf numFmtId="14" fontId="11" fillId="9" borderId="1" xfId="0" applyNumberFormat="1" applyFont="1" applyFill="1" applyBorder="1" applyAlignment="1">
      <alignment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4" borderId="4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14" fontId="16" fillId="14" borderId="1" xfId="0" applyNumberFormat="1" applyFont="1" applyFill="1" applyBorder="1" applyAlignment="1">
      <alignment horizontal="center" vertical="center"/>
    </xf>
    <xf numFmtId="3" fontId="16" fillId="14" borderId="1" xfId="0" applyNumberFormat="1" applyFont="1" applyFill="1" applyBorder="1" applyAlignment="1">
      <alignment horizontal="right" vertical="center"/>
    </xf>
    <xf numFmtId="3" fontId="16" fillId="0" borderId="1" xfId="0" applyNumberFormat="1" applyFont="1" applyBorder="1" applyAlignment="1">
      <alignment horizontal="center" vertical="center"/>
    </xf>
    <xf numFmtId="10" fontId="16" fillId="16" borderId="1" xfId="3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68" fontId="3" fillId="6" borderId="1" xfId="0" applyNumberFormat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168" fontId="12" fillId="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165" fontId="12" fillId="9" borderId="1" xfId="1" applyNumberFormat="1" applyFont="1" applyFill="1" applyBorder="1" applyAlignment="1">
      <alignment vertical="center"/>
    </xf>
    <xf numFmtId="169" fontId="16" fillId="16" borderId="1" xfId="3" applyNumberFormat="1" applyFont="1" applyFill="1" applyBorder="1" applyAlignment="1">
      <alignment horizontal="center" vertical="center"/>
    </xf>
    <xf numFmtId="3" fontId="26" fillId="14" borderId="1" xfId="0" applyNumberFormat="1" applyFont="1" applyFill="1" applyBorder="1" applyAlignment="1">
      <alignment horizontal="right" vertical="center"/>
    </xf>
    <xf numFmtId="169" fontId="26" fillId="16" borderId="1" xfId="3" applyNumberFormat="1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10" fontId="26" fillId="16" borderId="1" xfId="3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0" fontId="11" fillId="0" borderId="0" xfId="3" applyNumberFormat="1" applyFont="1" applyFill="1" applyAlignment="1">
      <alignment vertical="center"/>
    </xf>
    <xf numFmtId="0" fontId="20" fillId="0" borderId="0" xfId="0" applyFont="1" applyAlignment="1">
      <alignment vertical="center"/>
    </xf>
    <xf numFmtId="10" fontId="0" fillId="0" borderId="0" xfId="3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3" fontId="21" fillId="13" borderId="8" xfId="0" applyNumberFormat="1" applyFont="1" applyFill="1" applyBorder="1" applyAlignment="1">
      <alignment horizontal="center" vertical="center"/>
    </xf>
    <xf numFmtId="3" fontId="21" fillId="13" borderId="9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18" fillId="0" borderId="1" xfId="0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22" fillId="13" borderId="1" xfId="0" applyNumberFormat="1" applyFont="1" applyFill="1" applyBorder="1" applyAlignment="1">
      <alignment horizontal="right" vertical="center"/>
    </xf>
    <xf numFmtId="0" fontId="16" fillId="15" borderId="2" xfId="0" applyFont="1" applyFill="1" applyBorder="1" applyAlignment="1">
      <alignment vertical="center"/>
    </xf>
    <xf numFmtId="14" fontId="18" fillId="0" borderId="0" xfId="0" applyNumberFormat="1" applyFont="1" applyAlignment="1">
      <alignment horizontal="center" vertical="center"/>
    </xf>
    <xf numFmtId="165" fontId="11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8" fillId="0" borderId="6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10" fontId="0" fillId="0" borderId="0" xfId="0" applyNumberFormat="1"/>
    <xf numFmtId="165" fontId="0" fillId="0" borderId="0" xfId="0" applyNumberForma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6" fontId="5" fillId="3" borderId="4" xfId="2" applyNumberFormat="1" applyFont="1" applyFill="1" applyBorder="1" applyAlignment="1">
      <alignment horizontal="center" vertical="center" wrapText="1"/>
    </xf>
    <xf numFmtId="166" fontId="5" fillId="3" borderId="6" xfId="2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3" fontId="21" fillId="13" borderId="2" xfId="0" applyNumberFormat="1" applyFont="1" applyFill="1" applyBorder="1" applyAlignment="1">
      <alignment horizontal="center" vertical="center"/>
    </xf>
    <xf numFmtId="3" fontId="21" fillId="13" borderId="3" xfId="0" applyNumberFormat="1" applyFont="1" applyFill="1" applyBorder="1" applyAlignment="1">
      <alignment horizontal="center" vertical="center"/>
    </xf>
    <xf numFmtId="10" fontId="20" fillId="0" borderId="4" xfId="3" applyNumberFormat="1" applyFont="1" applyBorder="1" applyAlignment="1">
      <alignment horizontal="center" vertical="center"/>
    </xf>
    <xf numFmtId="10" fontId="20" fillId="0" borderId="5" xfId="3" applyNumberFormat="1" applyFont="1" applyBorder="1" applyAlignment="1">
      <alignment horizontal="center" vertical="center"/>
    </xf>
    <xf numFmtId="10" fontId="20" fillId="0" borderId="6" xfId="3" applyNumberFormat="1" applyFont="1" applyBorder="1" applyAlignment="1">
      <alignment horizontal="center" vertical="center"/>
    </xf>
    <xf numFmtId="10" fontId="17" fillId="0" borderId="4" xfId="3" applyNumberFormat="1" applyFont="1" applyBorder="1" applyAlignment="1">
      <alignment horizontal="center" vertical="center"/>
    </xf>
    <xf numFmtId="10" fontId="17" fillId="0" borderId="5" xfId="3" applyNumberFormat="1" applyFont="1" applyBorder="1" applyAlignment="1">
      <alignment horizontal="center" vertical="center"/>
    </xf>
    <xf numFmtId="10" fontId="17" fillId="0" borderId="6" xfId="3" applyNumberFormat="1" applyFont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14" fontId="20" fillId="14" borderId="2" xfId="0" applyNumberFormat="1" applyFont="1" applyFill="1" applyBorder="1" applyAlignment="1">
      <alignment horizontal="center" vertical="center"/>
    </xf>
    <xf numFmtId="14" fontId="20" fillId="14" borderId="7" xfId="0" applyNumberFormat="1" applyFont="1" applyFill="1" applyBorder="1" applyAlignment="1">
      <alignment horizontal="center" vertical="center"/>
    </xf>
    <xf numFmtId="14" fontId="20" fillId="14" borderId="3" xfId="0" applyNumberFormat="1" applyFont="1" applyFill="1" applyBorder="1" applyAlignment="1">
      <alignment horizontal="center" vertical="center"/>
    </xf>
    <xf numFmtId="169" fontId="17" fillId="0" borderId="4" xfId="3" applyNumberFormat="1" applyFont="1" applyBorder="1" applyAlignment="1">
      <alignment horizontal="center" vertical="center"/>
    </xf>
    <xf numFmtId="169" fontId="17" fillId="0" borderId="5" xfId="3" applyNumberFormat="1" applyFont="1" applyBorder="1" applyAlignment="1">
      <alignment horizontal="center" vertical="center"/>
    </xf>
    <xf numFmtId="169" fontId="17" fillId="0" borderId="6" xfId="3" applyNumberFormat="1" applyFont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168" fontId="18" fillId="0" borderId="2" xfId="0" applyNumberFormat="1" applyFont="1" applyBorder="1" applyAlignment="1">
      <alignment horizontal="center" vertical="center"/>
    </xf>
    <xf numFmtId="168" fontId="18" fillId="0" borderId="7" xfId="0" applyNumberFormat="1" applyFont="1" applyBorder="1" applyAlignment="1">
      <alignment horizontal="center" vertical="center"/>
    </xf>
    <xf numFmtId="168" fontId="18" fillId="0" borderId="3" xfId="0" applyNumberFormat="1" applyFont="1" applyBorder="1" applyAlignment="1">
      <alignment horizontal="center" vertical="center"/>
    </xf>
    <xf numFmtId="3" fontId="22" fillId="13" borderId="1" xfId="0" applyNumberFormat="1" applyFont="1" applyFill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1" fillId="13" borderId="8" xfId="0" applyNumberFormat="1" applyFont="1" applyFill="1" applyBorder="1" applyAlignment="1">
      <alignment horizontal="center" vertical="center"/>
    </xf>
    <xf numFmtId="3" fontId="21" fillId="13" borderId="9" xfId="0" applyNumberFormat="1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4" fontId="16" fillId="14" borderId="2" xfId="0" applyNumberFormat="1" applyFont="1" applyFill="1" applyBorder="1" applyAlignment="1">
      <alignment horizontal="center" vertical="center"/>
    </xf>
    <xf numFmtId="14" fontId="16" fillId="14" borderId="7" xfId="0" applyNumberFormat="1" applyFont="1" applyFill="1" applyBorder="1" applyAlignment="1">
      <alignment horizontal="center" vertical="center"/>
    </xf>
    <xf numFmtId="14" fontId="16" fillId="14" borderId="3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4" fontId="16" fillId="14" borderId="1" xfId="0" applyNumberFormat="1" applyFont="1" applyFill="1" applyBorder="1" applyAlignment="1">
      <alignment horizontal="center" vertical="center"/>
    </xf>
    <xf numFmtId="3" fontId="16" fillId="14" borderId="1" xfId="0" applyNumberFormat="1" applyFont="1" applyFill="1" applyBorder="1" applyAlignment="1">
      <alignment horizontal="center" vertical="center"/>
    </xf>
    <xf numFmtId="170" fontId="17" fillId="0" borderId="4" xfId="3" applyNumberFormat="1" applyFont="1" applyBorder="1" applyAlignment="1">
      <alignment horizontal="center" vertical="center"/>
    </xf>
    <xf numFmtId="170" fontId="17" fillId="0" borderId="5" xfId="3" applyNumberFormat="1" applyFont="1" applyBorder="1" applyAlignment="1">
      <alignment horizontal="center" vertical="center"/>
    </xf>
    <xf numFmtId="170" fontId="17" fillId="0" borderId="6" xfId="3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5">
    <cellStyle name="Millares" xfId="2" builtinId="3"/>
    <cellStyle name="Moneda" xfId="1" builtinId="4"/>
    <cellStyle name="Moneda 2" xfId="4" xr:uid="{00000000-0005-0000-0000-000002000000}"/>
    <cellStyle name="Normal" xfId="0" builtinId="0"/>
    <cellStyle name="Porcentaje" xfId="3" builtinId="5"/>
  </cellStyles>
  <dxfs count="129"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b/>
        <i val="0"/>
      </font>
      <numFmt numFmtId="3" formatCode="#,##0"/>
      <fill>
        <patternFill>
          <bgColor theme="9" tint="0.39994506668294322"/>
        </patternFill>
      </fill>
    </dxf>
    <dxf>
      <font>
        <b/>
        <i val="0"/>
      </font>
      <numFmt numFmtId="168" formatCode="dd/mm/yyyy;@"/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2"/>
  <sheetViews>
    <sheetView topLeftCell="A109" workbookViewId="0">
      <selection activeCell="F44" sqref="F44"/>
    </sheetView>
  </sheetViews>
  <sheetFormatPr baseColWidth="10" defaultColWidth="14.140625" defaultRowHeight="12.75"/>
  <cols>
    <col min="1" max="1" width="14.7109375" style="6" customWidth="1"/>
    <col min="2" max="2" width="14.7109375" style="142" customWidth="1"/>
    <col min="3" max="10" width="19.7109375" style="6" customWidth="1"/>
    <col min="11" max="11" width="16" style="6" bestFit="1" customWidth="1"/>
    <col min="12" max="16384" width="14.140625" style="6"/>
  </cols>
  <sheetData>
    <row r="1" spans="1:10" s="5" customFormat="1" ht="20.25">
      <c r="A1" s="194" t="s">
        <v>0</v>
      </c>
      <c r="B1" s="195"/>
      <c r="C1" s="195"/>
      <c r="D1" s="195"/>
      <c r="E1" s="195"/>
      <c r="F1" s="195"/>
      <c r="G1" s="195"/>
      <c r="H1" s="195"/>
      <c r="I1" s="195"/>
      <c r="J1" s="196"/>
    </row>
    <row r="2" spans="1:10" ht="30" customHeight="1">
      <c r="A2" s="197" t="s">
        <v>1</v>
      </c>
      <c r="B2" s="197" t="s">
        <v>2</v>
      </c>
      <c r="C2" s="197" t="s">
        <v>3</v>
      </c>
      <c r="D2" s="197" t="s">
        <v>4</v>
      </c>
      <c r="E2" s="197" t="s">
        <v>5</v>
      </c>
      <c r="F2" s="197" t="s">
        <v>6</v>
      </c>
      <c r="G2" s="197" t="s">
        <v>7</v>
      </c>
      <c r="H2" s="197"/>
      <c r="I2" s="197" t="s">
        <v>8</v>
      </c>
      <c r="J2" s="197" t="s">
        <v>9</v>
      </c>
    </row>
    <row r="3" spans="1:10" ht="30" customHeight="1">
      <c r="A3" s="197"/>
      <c r="B3" s="197"/>
      <c r="C3" s="197"/>
      <c r="D3" s="197"/>
      <c r="E3" s="197"/>
      <c r="F3" s="197"/>
      <c r="G3" s="167" t="s">
        <v>10</v>
      </c>
      <c r="H3" s="167" t="s">
        <v>11</v>
      </c>
      <c r="I3" s="197"/>
      <c r="J3" s="197"/>
    </row>
    <row r="4" spans="1:10" ht="15" customHeight="1">
      <c r="A4" s="2">
        <v>100015699</v>
      </c>
      <c r="B4" s="138">
        <v>45594</v>
      </c>
      <c r="C4" s="7">
        <v>5000000000</v>
      </c>
      <c r="D4" s="7">
        <v>0</v>
      </c>
      <c r="E4" s="8">
        <f>+'EJecucion convenio 46000017482'!E60</f>
        <v>487902</v>
      </c>
      <c r="F4" s="9">
        <v>0</v>
      </c>
      <c r="G4" s="7">
        <v>0</v>
      </c>
      <c r="H4" s="7">
        <v>0</v>
      </c>
      <c r="I4" s="7">
        <f t="shared" ref="I4:I19" si="0">SUM(F4:G4)</f>
        <v>0</v>
      </c>
      <c r="J4" s="7">
        <f>D4+C4-I4+E4</f>
        <v>5000487902</v>
      </c>
    </row>
    <row r="5" spans="1:10" ht="15" customHeight="1">
      <c r="A5" s="2">
        <v>100015699</v>
      </c>
      <c r="B5" s="138">
        <v>45626</v>
      </c>
      <c r="C5" s="7">
        <v>0</v>
      </c>
      <c r="D5" s="7">
        <f>J4</f>
        <v>5000487902</v>
      </c>
      <c r="E5" s="8">
        <f>+'EJecucion convenio 46000017482'!E61</f>
        <v>7277516</v>
      </c>
      <c r="F5" s="9">
        <v>0</v>
      </c>
      <c r="G5" s="7">
        <v>0</v>
      </c>
      <c r="H5" s="7">
        <v>0</v>
      </c>
      <c r="I5" s="7">
        <f t="shared" si="0"/>
        <v>0</v>
      </c>
      <c r="J5" s="7">
        <f t="shared" ref="J5:J34" si="1">D5+C5-I5+E5</f>
        <v>5007765418</v>
      </c>
    </row>
    <row r="6" spans="1:10" ht="15" customHeight="1">
      <c r="A6" s="2">
        <v>100015700</v>
      </c>
      <c r="B6" s="138">
        <v>45626</v>
      </c>
      <c r="C6" s="7">
        <v>0</v>
      </c>
      <c r="D6" s="7">
        <f t="shared" ref="D6:D34" si="2">J5</f>
        <v>5007765418</v>
      </c>
      <c r="E6" s="8">
        <f>+'EJecucion convenio 46000017482'!E62</f>
        <v>5486</v>
      </c>
      <c r="F6" s="9">
        <v>0</v>
      </c>
      <c r="G6" s="7">
        <v>0</v>
      </c>
      <c r="H6" s="7">
        <v>0</v>
      </c>
      <c r="I6" s="7">
        <f t="shared" si="0"/>
        <v>0</v>
      </c>
      <c r="J6" s="7">
        <f t="shared" si="1"/>
        <v>5007770904</v>
      </c>
    </row>
    <row r="7" spans="1:10" ht="15" customHeight="1">
      <c r="A7" s="2">
        <v>100015699</v>
      </c>
      <c r="B7" s="138">
        <v>45657</v>
      </c>
      <c r="C7" s="7">
        <v>0</v>
      </c>
      <c r="D7" s="7">
        <f t="shared" si="2"/>
        <v>5007770904</v>
      </c>
      <c r="E7" s="8">
        <f>+'EJecucion convenio 46000017482'!E63</f>
        <v>7417358</v>
      </c>
      <c r="F7" s="7">
        <v>0</v>
      </c>
      <c r="G7" s="7">
        <v>0</v>
      </c>
      <c r="H7" s="7">
        <v>0</v>
      </c>
      <c r="I7" s="7">
        <f t="shared" si="0"/>
        <v>0</v>
      </c>
      <c r="J7" s="7">
        <f t="shared" si="1"/>
        <v>5015188262</v>
      </c>
    </row>
    <row r="8" spans="1:10" ht="15" customHeight="1">
      <c r="A8" s="2">
        <v>100015700</v>
      </c>
      <c r="B8" s="138">
        <v>45657</v>
      </c>
      <c r="C8" s="7">
        <v>0</v>
      </c>
      <c r="D8" s="7">
        <f t="shared" si="2"/>
        <v>5015188262</v>
      </c>
      <c r="E8" s="8">
        <f>+'EJecucion convenio 46000017482'!E64</f>
        <v>16571</v>
      </c>
      <c r="F8" s="7">
        <v>0</v>
      </c>
      <c r="G8" s="7">
        <v>0</v>
      </c>
      <c r="H8" s="7">
        <v>0</v>
      </c>
      <c r="I8" s="7">
        <f t="shared" si="0"/>
        <v>0</v>
      </c>
      <c r="J8" s="7">
        <f t="shared" si="1"/>
        <v>5015204833</v>
      </c>
    </row>
    <row r="9" spans="1:10" ht="15" customHeight="1">
      <c r="A9" s="2">
        <v>100015699</v>
      </c>
      <c r="B9" s="138">
        <v>45688</v>
      </c>
      <c r="C9" s="7">
        <v>0</v>
      </c>
      <c r="D9" s="7">
        <f t="shared" si="2"/>
        <v>5015204833</v>
      </c>
      <c r="E9" s="8">
        <f>+'EJecucion convenio 46000017482'!E65</f>
        <v>7422793</v>
      </c>
      <c r="F9" s="7">
        <v>0</v>
      </c>
      <c r="G9" s="7">
        <v>0</v>
      </c>
      <c r="H9" s="7">
        <v>0</v>
      </c>
      <c r="I9" s="7">
        <f t="shared" si="0"/>
        <v>0</v>
      </c>
      <c r="J9" s="7">
        <f t="shared" si="1"/>
        <v>5022627626</v>
      </c>
    </row>
    <row r="10" spans="1:10">
      <c r="A10" s="2">
        <v>100015700</v>
      </c>
      <c r="B10" s="138">
        <v>45688</v>
      </c>
      <c r="C10" s="7">
        <v>0</v>
      </c>
      <c r="D10" s="7">
        <f t="shared" si="2"/>
        <v>5022627626</v>
      </c>
      <c r="E10" s="8">
        <f>+'EJecucion convenio 46000017482'!E66</f>
        <v>27625</v>
      </c>
      <c r="F10" s="7">
        <v>0</v>
      </c>
      <c r="G10" s="7">
        <v>0</v>
      </c>
      <c r="H10" s="7">
        <v>0</v>
      </c>
      <c r="I10" s="7">
        <f t="shared" si="0"/>
        <v>0</v>
      </c>
      <c r="J10" s="7">
        <f t="shared" si="1"/>
        <v>5022655251</v>
      </c>
    </row>
    <row r="11" spans="1:10">
      <c r="A11" s="2">
        <v>100015699</v>
      </c>
      <c r="B11" s="139">
        <v>45716</v>
      </c>
      <c r="C11" s="7">
        <v>0</v>
      </c>
      <c r="D11" s="7">
        <f t="shared" si="2"/>
        <v>5022655251</v>
      </c>
      <c r="E11" s="8">
        <f>+'EJecucion convenio 46000017482'!E67</f>
        <v>6722333</v>
      </c>
      <c r="F11" s="7">
        <v>0</v>
      </c>
      <c r="G11" s="7">
        <v>0</v>
      </c>
      <c r="H11" s="7">
        <v>0</v>
      </c>
      <c r="I11" s="7">
        <v>0</v>
      </c>
      <c r="J11" s="7">
        <f t="shared" si="1"/>
        <v>5029377584</v>
      </c>
    </row>
    <row r="12" spans="1:10">
      <c r="A12" s="2">
        <v>100015700</v>
      </c>
      <c r="B12" s="139">
        <v>45716</v>
      </c>
      <c r="C12" s="7">
        <v>0</v>
      </c>
      <c r="D12" s="7">
        <f t="shared" si="2"/>
        <v>5029377584</v>
      </c>
      <c r="E12" s="8">
        <f>+'EJecucion convenio 46000017482'!E68</f>
        <v>34605</v>
      </c>
      <c r="F12" s="7">
        <v>0</v>
      </c>
      <c r="G12" s="7">
        <v>0</v>
      </c>
      <c r="H12" s="7">
        <v>0</v>
      </c>
      <c r="I12" s="7">
        <f t="shared" si="0"/>
        <v>0</v>
      </c>
      <c r="J12" s="7">
        <f t="shared" si="1"/>
        <v>5029412189</v>
      </c>
    </row>
    <row r="13" spans="1:10">
      <c r="A13" s="2">
        <v>100015699</v>
      </c>
      <c r="B13" s="139">
        <v>45747</v>
      </c>
      <c r="C13" s="7">
        <v>0</v>
      </c>
      <c r="D13" s="7">
        <f t="shared" si="2"/>
        <v>5029412189</v>
      </c>
      <c r="E13" s="8">
        <f>+'EJecucion convenio 46000017482'!E69</f>
        <v>7460534</v>
      </c>
      <c r="F13" s="7">
        <v>0</v>
      </c>
      <c r="G13" s="7">
        <v>0</v>
      </c>
      <c r="H13" s="7">
        <v>0</v>
      </c>
      <c r="I13" s="7">
        <f t="shared" si="0"/>
        <v>0</v>
      </c>
      <c r="J13" s="7">
        <f t="shared" si="1"/>
        <v>5036872723</v>
      </c>
    </row>
    <row r="14" spans="1:10">
      <c r="A14" s="2">
        <v>100015700</v>
      </c>
      <c r="B14" s="138">
        <v>45747</v>
      </c>
      <c r="C14" s="7">
        <v>0</v>
      </c>
      <c r="D14" s="7">
        <f t="shared" si="2"/>
        <v>5036872723</v>
      </c>
      <c r="E14" s="8">
        <f>+'EJecucion convenio 46000017482'!E70</f>
        <v>48968</v>
      </c>
      <c r="F14" s="7">
        <v>0</v>
      </c>
      <c r="G14" s="7">
        <v>0</v>
      </c>
      <c r="H14" s="7">
        <v>0</v>
      </c>
      <c r="I14" s="7">
        <f t="shared" si="0"/>
        <v>0</v>
      </c>
      <c r="J14" s="7">
        <f t="shared" si="1"/>
        <v>5036921691</v>
      </c>
    </row>
    <row r="15" spans="1:10">
      <c r="A15" s="2">
        <v>100015699</v>
      </c>
      <c r="B15" s="138" t="s">
        <v>12</v>
      </c>
      <c r="C15" s="7">
        <v>0</v>
      </c>
      <c r="D15" s="7">
        <f t="shared" si="2"/>
        <v>5036921691</v>
      </c>
      <c r="E15" s="8">
        <f>+'EJecucion convenio 46000017482'!E71</f>
        <v>7156542</v>
      </c>
      <c r="F15" s="7">
        <v>0</v>
      </c>
      <c r="G15" s="7">
        <v>0</v>
      </c>
      <c r="H15" s="7">
        <v>0</v>
      </c>
      <c r="I15" s="7">
        <f t="shared" si="0"/>
        <v>0</v>
      </c>
      <c r="J15" s="7">
        <f t="shared" si="1"/>
        <v>5044078233</v>
      </c>
    </row>
    <row r="16" spans="1:10">
      <c r="A16" s="2">
        <v>100015700</v>
      </c>
      <c r="B16" s="138" t="s">
        <v>12</v>
      </c>
      <c r="C16" s="7">
        <v>0</v>
      </c>
      <c r="D16" s="7">
        <f t="shared" si="2"/>
        <v>5044078233</v>
      </c>
      <c r="E16" s="8">
        <f>+'EJecucion convenio 46000017482'!E72</f>
        <v>57503</v>
      </c>
      <c r="F16" s="7">
        <v>0</v>
      </c>
      <c r="G16" s="7">
        <v>0</v>
      </c>
      <c r="H16" s="7">
        <v>0</v>
      </c>
      <c r="I16" s="7">
        <f t="shared" si="0"/>
        <v>0</v>
      </c>
      <c r="J16" s="7">
        <f>D16+C16-I16+E16</f>
        <v>5044135736</v>
      </c>
    </row>
    <row r="17" spans="1:11" ht="25.5">
      <c r="A17" s="84" t="s">
        <v>13</v>
      </c>
      <c r="B17" s="138">
        <v>45807</v>
      </c>
      <c r="C17" s="7">
        <v>0</v>
      </c>
      <c r="D17" s="7">
        <f t="shared" si="2"/>
        <v>5044135736</v>
      </c>
      <c r="E17" s="10">
        <v>0</v>
      </c>
      <c r="F17" s="8">
        <f>+'EJecucion convenio 46000017482'!E122</f>
        <v>44135736</v>
      </c>
      <c r="G17" s="7">
        <v>0</v>
      </c>
      <c r="H17" s="7">
        <v>0</v>
      </c>
      <c r="I17" s="8">
        <f>SUM(F17:G17)</f>
        <v>44135736</v>
      </c>
      <c r="J17" s="7">
        <f>D17+C17-I17+E17</f>
        <v>5000000000</v>
      </c>
    </row>
    <row r="18" spans="1:11">
      <c r="A18" s="2">
        <v>100015699</v>
      </c>
      <c r="B18" s="138">
        <v>45808</v>
      </c>
      <c r="C18" s="7">
        <v>0</v>
      </c>
      <c r="D18" s="7">
        <f t="shared" si="2"/>
        <v>5000000000</v>
      </c>
      <c r="E18" s="54">
        <f>+'EJecucion convenio 46000017482'!E73</f>
        <v>7274207</v>
      </c>
      <c r="F18" s="7">
        <v>0</v>
      </c>
      <c r="G18" s="7">
        <v>0</v>
      </c>
      <c r="H18" s="7">
        <v>0</v>
      </c>
      <c r="I18" s="7">
        <f t="shared" si="0"/>
        <v>0</v>
      </c>
      <c r="J18" s="7">
        <f t="shared" si="1"/>
        <v>5007274207</v>
      </c>
    </row>
    <row r="19" spans="1:11">
      <c r="A19" s="2">
        <v>100015700</v>
      </c>
      <c r="B19" s="138">
        <v>45808</v>
      </c>
      <c r="C19" s="7">
        <v>0</v>
      </c>
      <c r="D19" s="7">
        <f t="shared" si="2"/>
        <v>5007274207</v>
      </c>
      <c r="E19" s="54">
        <f>+'EJecucion convenio 46000017482'!E74</f>
        <v>62943</v>
      </c>
      <c r="F19" s="7">
        <v>0</v>
      </c>
      <c r="G19" s="7">
        <v>0</v>
      </c>
      <c r="H19" s="7">
        <v>0</v>
      </c>
      <c r="I19" s="7">
        <f t="shared" si="0"/>
        <v>0</v>
      </c>
      <c r="J19" s="7">
        <f t="shared" si="1"/>
        <v>5007337150</v>
      </c>
    </row>
    <row r="20" spans="1:11" ht="25.5">
      <c r="A20" s="84" t="s">
        <v>13</v>
      </c>
      <c r="B20" s="138">
        <v>45820</v>
      </c>
      <c r="C20" s="7">
        <v>0</v>
      </c>
      <c r="D20" s="7">
        <f t="shared" si="2"/>
        <v>5007337150</v>
      </c>
      <c r="E20" s="10">
        <v>0</v>
      </c>
      <c r="F20" s="54">
        <v>7337150</v>
      </c>
      <c r="G20" s="7">
        <v>0</v>
      </c>
      <c r="H20" s="7">
        <v>0</v>
      </c>
      <c r="I20" s="54">
        <f>SUM(F20:G20)</f>
        <v>7337150</v>
      </c>
      <c r="J20" s="7">
        <f t="shared" si="1"/>
        <v>5000000000</v>
      </c>
    </row>
    <row r="21" spans="1:11">
      <c r="A21" s="2">
        <v>100015699</v>
      </c>
      <c r="B21" s="138">
        <v>45838</v>
      </c>
      <c r="C21" s="7">
        <v>0</v>
      </c>
      <c r="D21" s="7">
        <f t="shared" si="2"/>
        <v>5000000000</v>
      </c>
      <c r="E21" s="55">
        <f>+'EJecucion convenio 46000017482'!E75</f>
        <v>6955975</v>
      </c>
      <c r="F21" s="7">
        <v>0</v>
      </c>
      <c r="G21" s="7">
        <v>0</v>
      </c>
      <c r="H21" s="7">
        <v>0</v>
      </c>
      <c r="I21" s="7">
        <f t="shared" ref="I21:I47" si="3">SUM(F21:G21)</f>
        <v>0</v>
      </c>
      <c r="J21" s="7">
        <f t="shared" si="1"/>
        <v>5006955975</v>
      </c>
    </row>
    <row r="22" spans="1:11">
      <c r="A22" s="2">
        <v>100015700</v>
      </c>
      <c r="B22" s="138">
        <v>45838</v>
      </c>
      <c r="C22" s="7">
        <v>0</v>
      </c>
      <c r="D22" s="7">
        <f t="shared" si="2"/>
        <v>5006955975</v>
      </c>
      <c r="E22" s="55">
        <f>+'EJecucion convenio 46000017482'!E76</f>
        <v>7390</v>
      </c>
      <c r="F22" s="7">
        <v>0</v>
      </c>
      <c r="G22" s="7">
        <v>0</v>
      </c>
      <c r="H22" s="7">
        <v>0</v>
      </c>
      <c r="I22" s="7">
        <f t="shared" si="3"/>
        <v>0</v>
      </c>
      <c r="J22" s="7">
        <f t="shared" si="1"/>
        <v>5006963365</v>
      </c>
    </row>
    <row r="23" spans="1:11" ht="25.5">
      <c r="A23" s="84" t="s">
        <v>13</v>
      </c>
      <c r="B23" s="138">
        <v>45861</v>
      </c>
      <c r="C23" s="7">
        <v>0</v>
      </c>
      <c r="D23" s="7">
        <f t="shared" si="2"/>
        <v>5006963365</v>
      </c>
      <c r="E23" s="10">
        <v>0</v>
      </c>
      <c r="F23" s="55">
        <f>+'EJecucion convenio 46000017482'!E124</f>
        <v>6963365</v>
      </c>
      <c r="G23" s="7">
        <v>0</v>
      </c>
      <c r="H23" s="7">
        <v>0</v>
      </c>
      <c r="I23" s="55">
        <f t="shared" si="3"/>
        <v>6963365</v>
      </c>
      <c r="J23" s="7">
        <f t="shared" si="1"/>
        <v>5000000000</v>
      </c>
    </row>
    <row r="24" spans="1:11">
      <c r="A24" s="2">
        <v>100015699</v>
      </c>
      <c r="B24" s="138">
        <v>45869</v>
      </c>
      <c r="C24" s="7">
        <v>0</v>
      </c>
      <c r="D24" s="7">
        <f t="shared" si="2"/>
        <v>5000000000</v>
      </c>
      <c r="E24" s="58">
        <f>+'EJecucion convenio 46000017482'!E77</f>
        <v>7212374</v>
      </c>
      <c r="F24" s="7">
        <v>0</v>
      </c>
      <c r="G24" s="7">
        <v>0</v>
      </c>
      <c r="H24" s="7">
        <v>0</v>
      </c>
      <c r="I24" s="7">
        <f t="shared" si="3"/>
        <v>0</v>
      </c>
      <c r="J24" s="7">
        <f t="shared" si="1"/>
        <v>5007212374</v>
      </c>
    </row>
    <row r="25" spans="1:11">
      <c r="A25" s="2">
        <v>100015700</v>
      </c>
      <c r="B25" s="138">
        <v>45869</v>
      </c>
      <c r="C25" s="7">
        <v>0</v>
      </c>
      <c r="D25" s="7">
        <f t="shared" si="2"/>
        <v>5007212374</v>
      </c>
      <c r="E25" s="58">
        <f>+'EJecucion convenio 46000017482'!E78</f>
        <v>11633</v>
      </c>
      <c r="F25" s="7">
        <v>0</v>
      </c>
      <c r="G25" s="7">
        <v>0</v>
      </c>
      <c r="H25" s="7">
        <v>0</v>
      </c>
      <c r="I25" s="7">
        <f t="shared" si="3"/>
        <v>0</v>
      </c>
      <c r="J25" s="7">
        <f t="shared" si="1"/>
        <v>5007224007</v>
      </c>
    </row>
    <row r="26" spans="1:11">
      <c r="A26" s="2">
        <v>100015699</v>
      </c>
      <c r="B26" s="139">
        <v>45881</v>
      </c>
      <c r="C26" s="7">
        <v>0</v>
      </c>
      <c r="D26" s="7">
        <f t="shared" si="2"/>
        <v>5007224007</v>
      </c>
      <c r="E26" s="10">
        <v>0</v>
      </c>
      <c r="F26" s="7">
        <v>0</v>
      </c>
      <c r="G26" s="7">
        <v>2200000000</v>
      </c>
      <c r="H26" s="7">
        <v>0</v>
      </c>
      <c r="I26" s="7">
        <f t="shared" si="3"/>
        <v>2200000000</v>
      </c>
      <c r="J26" s="7">
        <f t="shared" si="1"/>
        <v>2807224007</v>
      </c>
    </row>
    <row r="27" spans="1:11" ht="25.5">
      <c r="A27" s="84" t="s">
        <v>13</v>
      </c>
      <c r="B27" s="139">
        <v>45884</v>
      </c>
      <c r="C27" s="7">
        <v>0</v>
      </c>
      <c r="D27" s="7">
        <f t="shared" si="2"/>
        <v>2807224007</v>
      </c>
      <c r="E27" s="10">
        <v>0</v>
      </c>
      <c r="F27" s="58">
        <v>7224007</v>
      </c>
      <c r="G27" s="7">
        <v>0</v>
      </c>
      <c r="H27" s="7">
        <v>0</v>
      </c>
      <c r="I27" s="7">
        <f>SUM(F27:G27)</f>
        <v>7224007</v>
      </c>
      <c r="J27" s="7">
        <f t="shared" si="1"/>
        <v>2800000000</v>
      </c>
    </row>
    <row r="28" spans="1:11">
      <c r="A28" s="2">
        <f>+'EJecucion convenio 46000017482'!A79</f>
        <v>100015699</v>
      </c>
      <c r="B28" s="139">
        <f>IF('EJecucion convenio 46000017482'!C79="","",'EJecucion convenio 46000017482'!C79)</f>
        <v>45900</v>
      </c>
      <c r="C28" s="7">
        <v>0</v>
      </c>
      <c r="D28" s="7">
        <f t="shared" si="2"/>
        <v>2800000000</v>
      </c>
      <c r="E28" s="67">
        <f>+'EJecucion convenio 46000017482'!E79</f>
        <v>6016060</v>
      </c>
      <c r="F28" s="7">
        <v>0</v>
      </c>
      <c r="G28" s="7">
        <v>0</v>
      </c>
      <c r="H28" s="7">
        <v>0</v>
      </c>
      <c r="I28" s="7">
        <f t="shared" si="3"/>
        <v>0</v>
      </c>
      <c r="J28" s="7">
        <f t="shared" si="1"/>
        <v>2806016060</v>
      </c>
    </row>
    <row r="29" spans="1:11">
      <c r="A29" s="2">
        <f>+'EJecucion convenio 46000017482'!A80</f>
        <v>100015700</v>
      </c>
      <c r="B29" s="139">
        <f>IF('EJecucion convenio 46000017482'!C80="","",'EJecucion convenio 46000017482'!C80)</f>
        <v>45900</v>
      </c>
      <c r="C29" s="7">
        <v>0</v>
      </c>
      <c r="D29" s="7">
        <f t="shared" si="2"/>
        <v>2806016060</v>
      </c>
      <c r="E29" s="67">
        <f>+'EJecucion convenio 46000017482'!E80</f>
        <v>9042</v>
      </c>
      <c r="F29" s="7">
        <v>0</v>
      </c>
      <c r="G29" s="7">
        <v>0</v>
      </c>
      <c r="H29" s="7">
        <v>0</v>
      </c>
      <c r="I29" s="7">
        <f t="shared" si="3"/>
        <v>0</v>
      </c>
      <c r="J29" s="7">
        <f t="shared" si="1"/>
        <v>2806025102</v>
      </c>
    </row>
    <row r="30" spans="1:11" ht="25.5">
      <c r="A30" s="84" t="s">
        <v>13</v>
      </c>
      <c r="B30" s="139">
        <v>45922</v>
      </c>
      <c r="C30" s="7">
        <v>0</v>
      </c>
      <c r="D30" s="7">
        <f t="shared" si="2"/>
        <v>2806025102</v>
      </c>
      <c r="E30" s="10">
        <v>0</v>
      </c>
      <c r="F30" s="67">
        <v>6025102</v>
      </c>
      <c r="G30" s="7">
        <v>0</v>
      </c>
      <c r="H30" s="7">
        <v>0</v>
      </c>
      <c r="I30" s="67">
        <f t="shared" si="3"/>
        <v>6025102</v>
      </c>
      <c r="J30" s="7">
        <f t="shared" si="1"/>
        <v>2800000000</v>
      </c>
      <c r="K30" s="68"/>
    </row>
    <row r="31" spans="1:11">
      <c r="A31" s="84">
        <v>100015699</v>
      </c>
      <c r="B31" s="139">
        <v>45925</v>
      </c>
      <c r="C31" s="7">
        <v>0</v>
      </c>
      <c r="D31" s="7">
        <f t="shared" si="2"/>
        <v>2800000000</v>
      </c>
      <c r="E31" s="10">
        <v>0</v>
      </c>
      <c r="F31" s="10">
        <v>0</v>
      </c>
      <c r="G31" s="7">
        <v>998095000</v>
      </c>
      <c r="H31" s="7">
        <v>0</v>
      </c>
      <c r="I31" s="10">
        <f t="shared" si="3"/>
        <v>998095000</v>
      </c>
      <c r="J31" s="7">
        <f t="shared" si="1"/>
        <v>1801905000</v>
      </c>
    </row>
    <row r="32" spans="1:11">
      <c r="A32" s="84">
        <v>100015699</v>
      </c>
      <c r="B32" s="139">
        <v>45925</v>
      </c>
      <c r="C32" s="7">
        <v>0</v>
      </c>
      <c r="D32" s="7">
        <f t="shared" si="2"/>
        <v>1801905000</v>
      </c>
      <c r="E32" s="10">
        <v>0</v>
      </c>
      <c r="F32" s="10">
        <v>0</v>
      </c>
      <c r="G32" s="7">
        <v>190754739</v>
      </c>
      <c r="H32" s="7">
        <v>0</v>
      </c>
      <c r="I32" s="10">
        <f t="shared" si="3"/>
        <v>190754739</v>
      </c>
      <c r="J32" s="7">
        <f>D32+C32-I32+E32</f>
        <v>1611150261</v>
      </c>
    </row>
    <row r="33" spans="1:10">
      <c r="A33" s="2">
        <f>+'EJecucion convenio 46000017482'!A81</f>
        <v>100015699</v>
      </c>
      <c r="B33" s="139">
        <f>IF('EJecucion convenio 46000017482'!C81="","",'EJecucion convenio 46000017482'!C81)</f>
        <v>45930</v>
      </c>
      <c r="C33" s="7">
        <v>0</v>
      </c>
      <c r="D33" s="7">
        <f t="shared" si="2"/>
        <v>1611150261</v>
      </c>
      <c r="E33" s="59">
        <f>+'EJecucion convenio 46000017482'!E81</f>
        <v>3507390</v>
      </c>
      <c r="F33" s="7">
        <v>0</v>
      </c>
      <c r="G33" s="7">
        <v>0</v>
      </c>
      <c r="H33" s="7">
        <v>0</v>
      </c>
      <c r="I33" s="7">
        <f t="shared" si="3"/>
        <v>0</v>
      </c>
      <c r="J33" s="7">
        <f t="shared" si="1"/>
        <v>1614657651</v>
      </c>
    </row>
    <row r="34" spans="1:10">
      <c r="A34" s="2">
        <f>+'EJecucion convenio 46000017482'!A82</f>
        <v>100015700</v>
      </c>
      <c r="B34" s="139">
        <f>IF('EJecucion convenio 46000017482'!C82="","",'EJecucion convenio 46000017482'!C82)</f>
        <v>45930</v>
      </c>
      <c r="C34" s="7">
        <v>0</v>
      </c>
      <c r="D34" s="7">
        <f t="shared" si="2"/>
        <v>1614657651</v>
      </c>
      <c r="E34" s="59">
        <f>+'EJecucion convenio 46000017482'!E82</f>
        <v>7347</v>
      </c>
      <c r="F34" s="7">
        <v>0</v>
      </c>
      <c r="G34" s="7">
        <v>0</v>
      </c>
      <c r="H34" s="7">
        <v>0</v>
      </c>
      <c r="I34" s="7">
        <f t="shared" si="3"/>
        <v>0</v>
      </c>
      <c r="J34" s="7">
        <f t="shared" si="1"/>
        <v>1614664998</v>
      </c>
    </row>
    <row r="35" spans="1:10" ht="25.5">
      <c r="A35" s="84" t="s">
        <v>13</v>
      </c>
      <c r="B35" s="139">
        <v>45937</v>
      </c>
      <c r="C35" s="7">
        <v>0</v>
      </c>
      <c r="D35" s="7">
        <f t="shared" ref="D35:D48" si="4">J34</f>
        <v>1614664998</v>
      </c>
      <c r="E35" s="10">
        <v>0</v>
      </c>
      <c r="F35" s="59">
        <v>3514737</v>
      </c>
      <c r="G35" s="7">
        <v>0</v>
      </c>
      <c r="H35" s="7">
        <v>0</v>
      </c>
      <c r="I35" s="59">
        <f>SUM(F35:G35)</f>
        <v>3514737</v>
      </c>
      <c r="J35" s="7">
        <f t="shared" ref="J35:J47" si="5">D35+C35-I35+E35</f>
        <v>1611150261</v>
      </c>
    </row>
    <row r="36" spans="1:10">
      <c r="A36" s="84">
        <v>100015699</v>
      </c>
      <c r="B36" s="139">
        <v>45954</v>
      </c>
      <c r="C36" s="7">
        <v>0</v>
      </c>
      <c r="D36" s="7">
        <f t="shared" si="4"/>
        <v>1611150261</v>
      </c>
      <c r="E36" s="10">
        <v>0</v>
      </c>
      <c r="F36" s="7">
        <v>0</v>
      </c>
      <c r="G36" s="7">
        <v>13650000</v>
      </c>
      <c r="H36" s="7">
        <v>0</v>
      </c>
      <c r="I36" s="7">
        <f t="shared" si="3"/>
        <v>13650000</v>
      </c>
      <c r="J36" s="7">
        <f t="shared" si="5"/>
        <v>1597500261</v>
      </c>
    </row>
    <row r="37" spans="1:10">
      <c r="A37" s="84">
        <v>100015699</v>
      </c>
      <c r="B37" s="139">
        <v>45954</v>
      </c>
      <c r="C37" s="7">
        <v>0</v>
      </c>
      <c r="D37" s="7">
        <f t="shared" si="4"/>
        <v>1597500261</v>
      </c>
      <c r="E37" s="10">
        <v>0</v>
      </c>
      <c r="F37" s="7">
        <v>0</v>
      </c>
      <c r="G37" s="7">
        <v>95018644</v>
      </c>
      <c r="H37" s="7">
        <v>0</v>
      </c>
      <c r="I37" s="7">
        <f t="shared" si="3"/>
        <v>95018644</v>
      </c>
      <c r="J37" s="7">
        <f t="shared" si="5"/>
        <v>1502481617</v>
      </c>
    </row>
    <row r="38" spans="1:10">
      <c r="A38" s="84">
        <v>100015699</v>
      </c>
      <c r="B38" s="139">
        <v>45954</v>
      </c>
      <c r="C38" s="7">
        <v>0</v>
      </c>
      <c r="D38" s="7">
        <f t="shared" si="4"/>
        <v>1502481617</v>
      </c>
      <c r="E38" s="10">
        <f>+'EJecucion convenio 46000017482'!E93</f>
        <v>281635</v>
      </c>
      <c r="F38" s="7">
        <v>0</v>
      </c>
      <c r="G38" s="7">
        <v>730635725</v>
      </c>
      <c r="H38" s="7">
        <v>0</v>
      </c>
      <c r="I38" s="7">
        <f t="shared" si="3"/>
        <v>730635725</v>
      </c>
      <c r="J38" s="7">
        <f t="shared" si="5"/>
        <v>772127527</v>
      </c>
    </row>
    <row r="39" spans="1:10">
      <c r="A39" s="84">
        <v>100015699</v>
      </c>
      <c r="B39" s="138">
        <v>45954</v>
      </c>
      <c r="C39" s="7">
        <v>0</v>
      </c>
      <c r="D39" s="7">
        <f t="shared" si="4"/>
        <v>772127527</v>
      </c>
      <c r="E39" s="10">
        <f>+'EJecucion convenio 46000017482'!E94</f>
        <v>5510</v>
      </c>
      <c r="F39" s="7">
        <v>0</v>
      </c>
      <c r="G39" s="7">
        <v>211478886</v>
      </c>
      <c r="H39" s="7">
        <v>0</v>
      </c>
      <c r="I39" s="7">
        <f t="shared" si="3"/>
        <v>211478886</v>
      </c>
      <c r="J39" s="7">
        <f t="shared" si="5"/>
        <v>560654151</v>
      </c>
    </row>
    <row r="40" spans="1:10">
      <c r="A40" s="2">
        <f>+'EJecucion convenio 46000017482'!A88</f>
        <v>100015700</v>
      </c>
      <c r="B40" s="138">
        <v>45961</v>
      </c>
      <c r="C40" s="7">
        <v>0</v>
      </c>
      <c r="D40" s="7">
        <f t="shared" si="4"/>
        <v>560654151</v>
      </c>
      <c r="E40" s="70">
        <v>2120535</v>
      </c>
      <c r="F40" s="7">
        <v>0</v>
      </c>
      <c r="G40" s="7"/>
      <c r="H40" s="7">
        <v>0</v>
      </c>
      <c r="I40" s="7">
        <f t="shared" si="3"/>
        <v>0</v>
      </c>
      <c r="J40" s="7">
        <f t="shared" si="5"/>
        <v>562774686</v>
      </c>
    </row>
    <row r="41" spans="1:10">
      <c r="A41" s="2">
        <f>+'EJecucion convenio 46000017482'!A89</f>
        <v>100015716</v>
      </c>
      <c r="B41" s="138">
        <v>45961</v>
      </c>
      <c r="C41" s="7">
        <v>0</v>
      </c>
      <c r="D41" s="7">
        <f t="shared" si="4"/>
        <v>562774686</v>
      </c>
      <c r="E41" s="70">
        <v>2412</v>
      </c>
      <c r="F41" s="7">
        <v>0</v>
      </c>
      <c r="G41" s="7">
        <v>0</v>
      </c>
      <c r="H41" s="7">
        <v>0</v>
      </c>
      <c r="I41" s="7">
        <f t="shared" si="3"/>
        <v>0</v>
      </c>
      <c r="J41" s="7">
        <f t="shared" si="5"/>
        <v>562777098</v>
      </c>
    </row>
    <row r="42" spans="1:10">
      <c r="A42" s="2">
        <f>+'EJecucion convenio 46000017482'!A90</f>
        <v>100015699</v>
      </c>
      <c r="B42" s="138">
        <v>45965</v>
      </c>
      <c r="C42" s="7">
        <v>0</v>
      </c>
      <c r="D42" s="7">
        <f t="shared" si="4"/>
        <v>562777098</v>
      </c>
      <c r="E42" s="73">
        <v>637896</v>
      </c>
      <c r="F42" s="7">
        <v>0</v>
      </c>
      <c r="G42" s="7">
        <v>0</v>
      </c>
      <c r="H42" s="7">
        <v>0</v>
      </c>
      <c r="I42" s="7">
        <v>0</v>
      </c>
      <c r="J42" s="7">
        <f t="shared" si="5"/>
        <v>563414994</v>
      </c>
    </row>
    <row r="43" spans="1:10">
      <c r="A43" s="2">
        <f>+'EJecucion convenio 46000017482'!A91</f>
        <v>100015700</v>
      </c>
      <c r="B43" s="138">
        <v>45965</v>
      </c>
      <c r="C43" s="7">
        <v>0</v>
      </c>
      <c r="D43" s="7">
        <f t="shared" si="4"/>
        <v>563414994</v>
      </c>
      <c r="E43" s="73">
        <v>2080</v>
      </c>
      <c r="F43" s="7">
        <v>0</v>
      </c>
      <c r="G43" s="7">
        <v>0</v>
      </c>
      <c r="H43" s="7">
        <v>0</v>
      </c>
      <c r="I43" s="7">
        <v>0</v>
      </c>
      <c r="J43" s="7">
        <f t="shared" si="5"/>
        <v>563417074</v>
      </c>
    </row>
    <row r="44" spans="1:10" ht="25.5">
      <c r="A44" s="84" t="s">
        <v>13</v>
      </c>
      <c r="B44" s="139">
        <v>45979</v>
      </c>
      <c r="C44" s="7">
        <v>0</v>
      </c>
      <c r="D44" s="7">
        <f t="shared" si="4"/>
        <v>563417074</v>
      </c>
      <c r="E44" s="10">
        <v>0</v>
      </c>
      <c r="F44" s="70">
        <v>2122947</v>
      </c>
      <c r="G44" s="7">
        <v>0</v>
      </c>
      <c r="H44" s="7">
        <v>0</v>
      </c>
      <c r="I44" s="7">
        <f t="shared" si="3"/>
        <v>2122947</v>
      </c>
      <c r="J44" s="7">
        <f t="shared" si="5"/>
        <v>561294127</v>
      </c>
    </row>
    <row r="45" spans="1:10">
      <c r="A45" s="84">
        <v>100015699</v>
      </c>
      <c r="B45" s="138">
        <v>45986</v>
      </c>
      <c r="C45" s="7">
        <v>0</v>
      </c>
      <c r="D45" s="7">
        <f t="shared" si="4"/>
        <v>561294127</v>
      </c>
      <c r="E45" s="10">
        <v>0</v>
      </c>
      <c r="F45" s="7">
        <v>0</v>
      </c>
      <c r="G45" s="7">
        <v>70856001</v>
      </c>
      <c r="H45" s="7">
        <v>0</v>
      </c>
      <c r="I45" s="7">
        <f t="shared" si="3"/>
        <v>70856001</v>
      </c>
      <c r="J45" s="7">
        <f t="shared" si="5"/>
        <v>490438126</v>
      </c>
    </row>
    <row r="46" spans="1:10">
      <c r="A46" s="84">
        <v>100015699</v>
      </c>
      <c r="B46" s="138">
        <v>45986</v>
      </c>
      <c r="C46" s="7">
        <v>0</v>
      </c>
      <c r="D46" s="7">
        <f t="shared" si="4"/>
        <v>490438126</v>
      </c>
      <c r="E46" s="10">
        <v>0</v>
      </c>
      <c r="F46" s="7">
        <v>0</v>
      </c>
      <c r="G46" s="7">
        <v>364100919</v>
      </c>
      <c r="H46" s="7">
        <v>0</v>
      </c>
      <c r="I46" s="7">
        <f t="shared" si="3"/>
        <v>364100919</v>
      </c>
      <c r="J46" s="7">
        <f t="shared" si="5"/>
        <v>126337207</v>
      </c>
    </row>
    <row r="47" spans="1:10">
      <c r="A47" s="84">
        <v>100015699</v>
      </c>
      <c r="B47" s="140">
        <v>45986</v>
      </c>
      <c r="C47" s="7">
        <v>0</v>
      </c>
      <c r="D47" s="7">
        <f t="shared" si="4"/>
        <v>126337207</v>
      </c>
      <c r="E47" s="10">
        <v>0</v>
      </c>
      <c r="F47" s="7">
        <v>0</v>
      </c>
      <c r="G47" s="7">
        <v>13650000</v>
      </c>
      <c r="H47" s="7">
        <v>0</v>
      </c>
      <c r="I47" s="7">
        <f t="shared" si="3"/>
        <v>13650000</v>
      </c>
      <c r="J47" s="7">
        <f t="shared" si="5"/>
        <v>112687207</v>
      </c>
    </row>
    <row r="48" spans="1:10">
      <c r="A48" s="84"/>
      <c r="B48" s="140">
        <v>46001</v>
      </c>
      <c r="C48" s="7">
        <v>6000000000</v>
      </c>
      <c r="D48" s="7">
        <f t="shared" si="4"/>
        <v>112687207</v>
      </c>
      <c r="E48" s="10">
        <v>0</v>
      </c>
      <c r="F48" s="7">
        <v>0</v>
      </c>
      <c r="G48" s="7">
        <v>0</v>
      </c>
      <c r="H48" s="7">
        <v>0</v>
      </c>
      <c r="I48" s="7">
        <f>SUM(F48:G48)</f>
        <v>0</v>
      </c>
      <c r="J48" s="7">
        <f>D48+C48-I48+E48</f>
        <v>6112687207</v>
      </c>
    </row>
    <row r="49" spans="1:10" ht="15">
      <c r="A49" s="2"/>
      <c r="B49" s="77">
        <v>46007</v>
      </c>
      <c r="C49" s="7">
        <v>0</v>
      </c>
      <c r="D49" s="7">
        <f t="shared" ref="D49:D61" si="6">J48</f>
        <v>6112687207</v>
      </c>
      <c r="E49" s="10">
        <v>0</v>
      </c>
      <c r="F49" s="7">
        <v>0</v>
      </c>
      <c r="G49" s="7">
        <v>13650000</v>
      </c>
      <c r="H49" s="7">
        <v>0</v>
      </c>
      <c r="I49" s="7">
        <f t="shared" ref="I49:I61" si="7">SUM(F49:G49)</f>
        <v>13650000</v>
      </c>
      <c r="J49" s="7">
        <f t="shared" ref="J49:J61" si="8">D49+C49-I49+E49</f>
        <v>6099037207</v>
      </c>
    </row>
    <row r="50" spans="1:10" ht="15">
      <c r="A50" s="3"/>
      <c r="B50" s="77">
        <v>46007</v>
      </c>
      <c r="C50" s="7">
        <v>0</v>
      </c>
      <c r="D50" s="7">
        <f t="shared" si="6"/>
        <v>6099037207</v>
      </c>
      <c r="E50" s="10">
        <v>0</v>
      </c>
      <c r="F50" s="7">
        <v>0</v>
      </c>
      <c r="G50" s="7">
        <v>1095953586</v>
      </c>
      <c r="H50" s="7">
        <v>0</v>
      </c>
      <c r="I50" s="7">
        <f t="shared" si="7"/>
        <v>1095953586</v>
      </c>
      <c r="J50" s="7">
        <f t="shared" si="8"/>
        <v>5003083621</v>
      </c>
    </row>
    <row r="51" spans="1:10" ht="15">
      <c r="A51" s="3"/>
      <c r="B51" s="77">
        <v>46007</v>
      </c>
      <c r="C51" s="7">
        <v>0</v>
      </c>
      <c r="D51" s="7">
        <f t="shared" si="6"/>
        <v>5003083621</v>
      </c>
      <c r="E51" s="10">
        <v>0</v>
      </c>
      <c r="F51" s="7">
        <v>0</v>
      </c>
      <c r="G51" s="7">
        <v>1299480</v>
      </c>
      <c r="H51" s="7">
        <v>0</v>
      </c>
      <c r="I51" s="7">
        <f t="shared" si="7"/>
        <v>1299480</v>
      </c>
      <c r="J51" s="7">
        <f t="shared" si="8"/>
        <v>5001784141</v>
      </c>
    </row>
    <row r="52" spans="1:10" ht="15">
      <c r="A52" s="3"/>
      <c r="B52" s="77">
        <v>46007</v>
      </c>
      <c r="C52" s="7">
        <v>0</v>
      </c>
      <c r="D52" s="7">
        <f t="shared" si="6"/>
        <v>5001784141</v>
      </c>
      <c r="E52" s="10">
        <v>0</v>
      </c>
      <c r="F52" s="7">
        <v>0</v>
      </c>
      <c r="G52" s="7">
        <v>262400529</v>
      </c>
      <c r="H52" s="7">
        <v>0</v>
      </c>
      <c r="I52" s="7">
        <f t="shared" si="7"/>
        <v>262400529</v>
      </c>
      <c r="J52" s="7">
        <f t="shared" si="8"/>
        <v>4739383612</v>
      </c>
    </row>
    <row r="53" spans="1:10" ht="15">
      <c r="A53" s="3"/>
      <c r="B53" s="77">
        <v>46048</v>
      </c>
      <c r="C53" s="7">
        <v>0</v>
      </c>
      <c r="D53" s="7">
        <f t="shared" si="6"/>
        <v>4739383612</v>
      </c>
      <c r="E53" s="10">
        <v>0</v>
      </c>
      <c r="F53" s="7">
        <v>0</v>
      </c>
      <c r="G53" s="7">
        <v>1539588229</v>
      </c>
      <c r="H53" s="7">
        <v>0</v>
      </c>
      <c r="I53" s="7">
        <f t="shared" si="7"/>
        <v>1539588229</v>
      </c>
      <c r="J53" s="7">
        <f t="shared" si="8"/>
        <v>3199795383</v>
      </c>
    </row>
    <row r="54" spans="1:10" ht="15">
      <c r="A54" s="3"/>
      <c r="B54" s="77">
        <v>46048</v>
      </c>
      <c r="C54" s="7">
        <v>0</v>
      </c>
      <c r="D54" s="7">
        <f t="shared" si="6"/>
        <v>3199795383</v>
      </c>
      <c r="E54" s="10">
        <v>0</v>
      </c>
      <c r="F54" s="7">
        <v>0</v>
      </c>
      <c r="G54" s="7">
        <v>105634262</v>
      </c>
      <c r="H54" s="7">
        <v>0</v>
      </c>
      <c r="I54" s="7">
        <f t="shared" si="7"/>
        <v>105634262</v>
      </c>
      <c r="J54" s="7">
        <f t="shared" si="8"/>
        <v>3094161121</v>
      </c>
    </row>
    <row r="55" spans="1:10" ht="15">
      <c r="A55" s="3"/>
      <c r="B55" s="77">
        <v>46048</v>
      </c>
      <c r="C55" s="7">
        <v>0</v>
      </c>
      <c r="D55" s="7">
        <f t="shared" si="6"/>
        <v>3094161121</v>
      </c>
      <c r="E55" s="10">
        <v>0</v>
      </c>
      <c r="F55" s="7">
        <v>0</v>
      </c>
      <c r="G55" s="7">
        <v>378854365</v>
      </c>
      <c r="H55" s="7">
        <v>0</v>
      </c>
      <c r="I55" s="7">
        <f t="shared" si="7"/>
        <v>378854365</v>
      </c>
      <c r="J55" s="7">
        <f t="shared" si="8"/>
        <v>2715306756</v>
      </c>
    </row>
    <row r="56" spans="1:10" ht="15">
      <c r="A56" s="3"/>
      <c r="B56" s="77">
        <v>46048</v>
      </c>
      <c r="C56" s="7">
        <v>0</v>
      </c>
      <c r="D56" s="7">
        <f t="shared" si="6"/>
        <v>2715306756</v>
      </c>
      <c r="E56" s="10">
        <v>0</v>
      </c>
      <c r="F56" s="7">
        <v>0</v>
      </c>
      <c r="G56" s="7">
        <v>13650000</v>
      </c>
      <c r="H56" s="7">
        <v>0</v>
      </c>
      <c r="I56" s="7">
        <f t="shared" si="7"/>
        <v>13650000</v>
      </c>
      <c r="J56" s="7">
        <f t="shared" si="8"/>
        <v>2701656756</v>
      </c>
    </row>
    <row r="57" spans="1:10" ht="15">
      <c r="A57" s="3"/>
      <c r="B57" s="143" t="s">
        <v>14</v>
      </c>
      <c r="C57" s="59">
        <v>0</v>
      </c>
      <c r="D57" s="7">
        <f t="shared" si="6"/>
        <v>2701656756</v>
      </c>
      <c r="E57" s="10">
        <v>0</v>
      </c>
      <c r="F57" s="7">
        <v>0</v>
      </c>
      <c r="G57" s="7">
        <v>0</v>
      </c>
      <c r="H57" s="7">
        <v>0</v>
      </c>
      <c r="I57" s="7">
        <f t="shared" si="7"/>
        <v>0</v>
      </c>
      <c r="J57" s="7">
        <f t="shared" si="8"/>
        <v>2701656756</v>
      </c>
    </row>
    <row r="58" spans="1:10" ht="15">
      <c r="A58" s="3"/>
      <c r="B58" s="143" t="s">
        <v>14</v>
      </c>
      <c r="C58" s="59">
        <v>0</v>
      </c>
      <c r="D58" s="7">
        <f t="shared" si="6"/>
        <v>2701656756</v>
      </c>
      <c r="E58" s="10">
        <v>0</v>
      </c>
      <c r="F58" s="7">
        <v>0</v>
      </c>
      <c r="G58" s="7">
        <v>0</v>
      </c>
      <c r="H58" s="7">
        <v>0</v>
      </c>
      <c r="I58" s="7">
        <f t="shared" si="7"/>
        <v>0</v>
      </c>
      <c r="J58" s="7">
        <f t="shared" si="8"/>
        <v>2701656756</v>
      </c>
    </row>
    <row r="59" spans="1:10" ht="15">
      <c r="A59" s="3"/>
      <c r="B59" s="143" t="s">
        <v>14</v>
      </c>
      <c r="C59" s="59">
        <v>0</v>
      </c>
      <c r="D59" s="7">
        <f t="shared" si="6"/>
        <v>2701656756</v>
      </c>
      <c r="E59" s="10">
        <v>0</v>
      </c>
      <c r="F59" s="7">
        <v>0</v>
      </c>
      <c r="G59" s="7">
        <v>0</v>
      </c>
      <c r="H59" s="7">
        <v>0</v>
      </c>
      <c r="I59" s="7">
        <f t="shared" si="7"/>
        <v>0</v>
      </c>
      <c r="J59" s="7">
        <f t="shared" si="8"/>
        <v>2701656756</v>
      </c>
    </row>
    <row r="60" spans="1:10">
      <c r="A60" s="3"/>
      <c r="B60" s="138"/>
      <c r="C60" s="7">
        <v>0</v>
      </c>
      <c r="D60" s="7">
        <f t="shared" si="6"/>
        <v>2701656756</v>
      </c>
      <c r="E60" s="10">
        <v>0</v>
      </c>
      <c r="F60" s="7">
        <v>0</v>
      </c>
      <c r="G60" s="7">
        <v>0</v>
      </c>
      <c r="H60" s="7">
        <v>0</v>
      </c>
      <c r="I60" s="7">
        <f t="shared" si="7"/>
        <v>0</v>
      </c>
      <c r="J60" s="7">
        <f t="shared" si="8"/>
        <v>2701656756</v>
      </c>
    </row>
    <row r="61" spans="1:10">
      <c r="A61" s="3"/>
      <c r="B61" s="138"/>
      <c r="C61" s="7">
        <v>0</v>
      </c>
      <c r="D61" s="7">
        <f t="shared" si="6"/>
        <v>2701656756</v>
      </c>
      <c r="E61" s="10">
        <v>0</v>
      </c>
      <c r="F61" s="7">
        <v>0</v>
      </c>
      <c r="G61" s="7">
        <v>0</v>
      </c>
      <c r="H61" s="7">
        <v>0</v>
      </c>
      <c r="I61" s="7">
        <f t="shared" si="7"/>
        <v>0</v>
      </c>
      <c r="J61" s="7">
        <f t="shared" si="8"/>
        <v>2701656756</v>
      </c>
    </row>
    <row r="62" spans="1:10">
      <c r="A62" s="3"/>
      <c r="B62" s="138"/>
      <c r="C62" s="7">
        <v>0</v>
      </c>
      <c r="D62" s="7">
        <f t="shared" ref="D62:D125" si="9">J61</f>
        <v>2701656756</v>
      </c>
      <c r="E62" s="10">
        <v>0</v>
      </c>
      <c r="F62" s="7">
        <v>0</v>
      </c>
      <c r="G62" s="7">
        <v>0</v>
      </c>
      <c r="H62" s="7">
        <v>0</v>
      </c>
      <c r="I62" s="7">
        <f t="shared" ref="I62:I125" si="10">SUM(F62:G62)</f>
        <v>0</v>
      </c>
      <c r="J62" s="7">
        <f t="shared" ref="J62:J125" si="11">D62+C62-I62+E62</f>
        <v>2701656756</v>
      </c>
    </row>
    <row r="63" spans="1:10">
      <c r="A63" s="3"/>
      <c r="B63" s="138"/>
      <c r="C63" s="7">
        <v>0</v>
      </c>
      <c r="D63" s="7">
        <f t="shared" si="9"/>
        <v>2701656756</v>
      </c>
      <c r="E63" s="10">
        <v>0</v>
      </c>
      <c r="F63" s="7">
        <v>0</v>
      </c>
      <c r="G63" s="7">
        <v>0</v>
      </c>
      <c r="H63" s="7">
        <v>0</v>
      </c>
      <c r="I63" s="7">
        <f t="shared" si="10"/>
        <v>0</v>
      </c>
      <c r="J63" s="7">
        <f t="shared" si="11"/>
        <v>2701656756</v>
      </c>
    </row>
    <row r="64" spans="1:10">
      <c r="A64" s="3"/>
      <c r="B64" s="138"/>
      <c r="C64" s="7">
        <v>0</v>
      </c>
      <c r="D64" s="7">
        <f t="shared" si="9"/>
        <v>2701656756</v>
      </c>
      <c r="E64" s="10">
        <v>0</v>
      </c>
      <c r="F64" s="7">
        <v>0</v>
      </c>
      <c r="G64" s="7">
        <v>0</v>
      </c>
      <c r="H64" s="7">
        <v>0</v>
      </c>
      <c r="I64" s="7">
        <f t="shared" si="10"/>
        <v>0</v>
      </c>
      <c r="J64" s="7">
        <f t="shared" si="11"/>
        <v>2701656756</v>
      </c>
    </row>
    <row r="65" spans="1:10">
      <c r="A65" s="3"/>
      <c r="B65" s="138"/>
      <c r="C65" s="7">
        <v>0</v>
      </c>
      <c r="D65" s="7">
        <f t="shared" si="9"/>
        <v>2701656756</v>
      </c>
      <c r="E65" s="10">
        <v>0</v>
      </c>
      <c r="F65" s="7">
        <v>0</v>
      </c>
      <c r="G65" s="7">
        <v>0</v>
      </c>
      <c r="H65" s="7">
        <v>0</v>
      </c>
      <c r="I65" s="7">
        <f t="shared" si="10"/>
        <v>0</v>
      </c>
      <c r="J65" s="7">
        <f t="shared" si="11"/>
        <v>2701656756</v>
      </c>
    </row>
    <row r="66" spans="1:10">
      <c r="A66" s="3"/>
      <c r="B66" s="138"/>
      <c r="C66" s="7">
        <v>0</v>
      </c>
      <c r="D66" s="7">
        <f t="shared" si="9"/>
        <v>2701656756</v>
      </c>
      <c r="E66" s="10">
        <v>0</v>
      </c>
      <c r="F66" s="7">
        <v>0</v>
      </c>
      <c r="G66" s="7">
        <v>0</v>
      </c>
      <c r="H66" s="7">
        <v>0</v>
      </c>
      <c r="I66" s="7">
        <f t="shared" si="10"/>
        <v>0</v>
      </c>
      <c r="J66" s="7">
        <f t="shared" si="11"/>
        <v>2701656756</v>
      </c>
    </row>
    <row r="67" spans="1:10">
      <c r="A67" s="3"/>
      <c r="B67" s="138"/>
      <c r="C67" s="7">
        <v>0</v>
      </c>
      <c r="D67" s="7">
        <f t="shared" si="9"/>
        <v>2701656756</v>
      </c>
      <c r="E67" s="10">
        <v>0</v>
      </c>
      <c r="F67" s="7">
        <v>0</v>
      </c>
      <c r="G67" s="7">
        <v>0</v>
      </c>
      <c r="H67" s="7">
        <v>0</v>
      </c>
      <c r="I67" s="7">
        <f t="shared" si="10"/>
        <v>0</v>
      </c>
      <c r="J67" s="7">
        <f t="shared" si="11"/>
        <v>2701656756</v>
      </c>
    </row>
    <row r="68" spans="1:10">
      <c r="A68" s="3"/>
      <c r="B68" s="138"/>
      <c r="C68" s="7">
        <v>0</v>
      </c>
      <c r="D68" s="7">
        <f t="shared" si="9"/>
        <v>2701656756</v>
      </c>
      <c r="E68" s="10">
        <v>0</v>
      </c>
      <c r="F68" s="7">
        <v>0</v>
      </c>
      <c r="G68" s="7">
        <v>0</v>
      </c>
      <c r="H68" s="7">
        <v>0</v>
      </c>
      <c r="I68" s="7">
        <f t="shared" si="10"/>
        <v>0</v>
      </c>
      <c r="J68" s="7">
        <f t="shared" si="11"/>
        <v>2701656756</v>
      </c>
    </row>
    <row r="69" spans="1:10">
      <c r="A69" s="3"/>
      <c r="B69" s="138"/>
      <c r="C69" s="7">
        <v>0</v>
      </c>
      <c r="D69" s="7">
        <f t="shared" si="9"/>
        <v>2701656756</v>
      </c>
      <c r="E69" s="10">
        <v>0</v>
      </c>
      <c r="F69" s="7">
        <v>0</v>
      </c>
      <c r="G69" s="7">
        <v>0</v>
      </c>
      <c r="H69" s="7">
        <v>0</v>
      </c>
      <c r="I69" s="7">
        <f t="shared" si="10"/>
        <v>0</v>
      </c>
      <c r="J69" s="7">
        <f t="shared" si="11"/>
        <v>2701656756</v>
      </c>
    </row>
    <row r="70" spans="1:10">
      <c r="A70" s="3"/>
      <c r="B70" s="138"/>
      <c r="C70" s="7">
        <v>0</v>
      </c>
      <c r="D70" s="7">
        <f t="shared" si="9"/>
        <v>2701656756</v>
      </c>
      <c r="E70" s="10">
        <v>0</v>
      </c>
      <c r="F70" s="7">
        <v>0</v>
      </c>
      <c r="G70" s="7">
        <v>0</v>
      </c>
      <c r="H70" s="7">
        <v>0</v>
      </c>
      <c r="I70" s="7">
        <f t="shared" si="10"/>
        <v>0</v>
      </c>
      <c r="J70" s="7">
        <f t="shared" si="11"/>
        <v>2701656756</v>
      </c>
    </row>
    <row r="71" spans="1:10">
      <c r="A71" s="3"/>
      <c r="B71" s="138"/>
      <c r="C71" s="7">
        <v>0</v>
      </c>
      <c r="D71" s="7">
        <f t="shared" si="9"/>
        <v>2701656756</v>
      </c>
      <c r="E71" s="10">
        <v>0</v>
      </c>
      <c r="F71" s="7">
        <v>0</v>
      </c>
      <c r="G71" s="7">
        <v>0</v>
      </c>
      <c r="H71" s="7">
        <v>0</v>
      </c>
      <c r="I71" s="7">
        <f t="shared" si="10"/>
        <v>0</v>
      </c>
      <c r="J71" s="7">
        <f t="shared" si="11"/>
        <v>2701656756</v>
      </c>
    </row>
    <row r="72" spans="1:10">
      <c r="A72" s="3"/>
      <c r="B72" s="138"/>
      <c r="C72" s="7">
        <v>0</v>
      </c>
      <c r="D72" s="7">
        <f t="shared" si="9"/>
        <v>2701656756</v>
      </c>
      <c r="E72" s="10">
        <v>0</v>
      </c>
      <c r="F72" s="7">
        <v>0</v>
      </c>
      <c r="G72" s="7">
        <v>0</v>
      </c>
      <c r="H72" s="7">
        <v>0</v>
      </c>
      <c r="I72" s="7">
        <f t="shared" si="10"/>
        <v>0</v>
      </c>
      <c r="J72" s="7">
        <f t="shared" si="11"/>
        <v>2701656756</v>
      </c>
    </row>
    <row r="73" spans="1:10">
      <c r="A73" s="3"/>
      <c r="B73" s="138"/>
      <c r="C73" s="7">
        <v>0</v>
      </c>
      <c r="D73" s="7">
        <f t="shared" si="9"/>
        <v>2701656756</v>
      </c>
      <c r="E73" s="10">
        <v>0</v>
      </c>
      <c r="F73" s="7">
        <v>0</v>
      </c>
      <c r="G73" s="7">
        <v>0</v>
      </c>
      <c r="H73" s="7">
        <v>0</v>
      </c>
      <c r="I73" s="7">
        <f t="shared" si="10"/>
        <v>0</v>
      </c>
      <c r="J73" s="7">
        <f t="shared" si="11"/>
        <v>2701656756</v>
      </c>
    </row>
    <row r="74" spans="1:10">
      <c r="A74" s="3"/>
      <c r="B74" s="138"/>
      <c r="C74" s="7">
        <v>0</v>
      </c>
      <c r="D74" s="7">
        <f t="shared" si="9"/>
        <v>2701656756</v>
      </c>
      <c r="E74" s="10">
        <v>0</v>
      </c>
      <c r="F74" s="7">
        <v>0</v>
      </c>
      <c r="G74" s="7">
        <v>0</v>
      </c>
      <c r="H74" s="7">
        <v>0</v>
      </c>
      <c r="I74" s="7">
        <f t="shared" si="10"/>
        <v>0</v>
      </c>
      <c r="J74" s="7">
        <f t="shared" si="11"/>
        <v>2701656756</v>
      </c>
    </row>
    <row r="75" spans="1:10">
      <c r="A75" s="3"/>
      <c r="B75" s="138"/>
      <c r="C75" s="7">
        <v>0</v>
      </c>
      <c r="D75" s="7">
        <f t="shared" si="9"/>
        <v>2701656756</v>
      </c>
      <c r="E75" s="10">
        <v>0</v>
      </c>
      <c r="F75" s="7">
        <v>0</v>
      </c>
      <c r="G75" s="7">
        <v>0</v>
      </c>
      <c r="H75" s="7">
        <v>0</v>
      </c>
      <c r="I75" s="7">
        <f t="shared" si="10"/>
        <v>0</v>
      </c>
      <c r="J75" s="7">
        <f t="shared" si="11"/>
        <v>2701656756</v>
      </c>
    </row>
    <row r="76" spans="1:10">
      <c r="A76" s="3"/>
      <c r="B76" s="138"/>
      <c r="C76" s="7">
        <v>0</v>
      </c>
      <c r="D76" s="7">
        <f t="shared" si="9"/>
        <v>2701656756</v>
      </c>
      <c r="E76" s="10">
        <v>0</v>
      </c>
      <c r="F76" s="7">
        <v>0</v>
      </c>
      <c r="G76" s="7">
        <v>0</v>
      </c>
      <c r="H76" s="7">
        <v>0</v>
      </c>
      <c r="I76" s="7">
        <f t="shared" si="10"/>
        <v>0</v>
      </c>
      <c r="J76" s="7">
        <f t="shared" si="11"/>
        <v>2701656756</v>
      </c>
    </row>
    <row r="77" spans="1:10">
      <c r="A77" s="3"/>
      <c r="B77" s="138"/>
      <c r="C77" s="7">
        <v>0</v>
      </c>
      <c r="D77" s="7">
        <f t="shared" si="9"/>
        <v>2701656756</v>
      </c>
      <c r="E77" s="10">
        <v>0</v>
      </c>
      <c r="F77" s="7">
        <v>0</v>
      </c>
      <c r="G77" s="7">
        <v>0</v>
      </c>
      <c r="H77" s="7">
        <v>0</v>
      </c>
      <c r="I77" s="7">
        <f t="shared" si="10"/>
        <v>0</v>
      </c>
      <c r="J77" s="7">
        <f t="shared" si="11"/>
        <v>2701656756</v>
      </c>
    </row>
    <row r="78" spans="1:10">
      <c r="A78" s="3"/>
      <c r="B78" s="138"/>
      <c r="C78" s="7">
        <v>0</v>
      </c>
      <c r="D78" s="7">
        <f t="shared" si="9"/>
        <v>2701656756</v>
      </c>
      <c r="E78" s="10">
        <v>0</v>
      </c>
      <c r="F78" s="7">
        <v>0</v>
      </c>
      <c r="G78" s="7">
        <v>0</v>
      </c>
      <c r="H78" s="7">
        <v>0</v>
      </c>
      <c r="I78" s="7">
        <f t="shared" si="10"/>
        <v>0</v>
      </c>
      <c r="J78" s="7">
        <f t="shared" si="11"/>
        <v>2701656756</v>
      </c>
    </row>
    <row r="79" spans="1:10">
      <c r="A79" s="3"/>
      <c r="B79" s="138"/>
      <c r="C79" s="7">
        <v>0</v>
      </c>
      <c r="D79" s="7">
        <f t="shared" si="9"/>
        <v>2701656756</v>
      </c>
      <c r="E79" s="10">
        <v>0</v>
      </c>
      <c r="F79" s="7">
        <v>0</v>
      </c>
      <c r="G79" s="7">
        <v>0</v>
      </c>
      <c r="H79" s="7">
        <v>0</v>
      </c>
      <c r="I79" s="7">
        <f t="shared" si="10"/>
        <v>0</v>
      </c>
      <c r="J79" s="7">
        <f t="shared" si="11"/>
        <v>2701656756</v>
      </c>
    </row>
    <row r="80" spans="1:10">
      <c r="A80" s="3"/>
      <c r="B80" s="138"/>
      <c r="C80" s="7">
        <v>0</v>
      </c>
      <c r="D80" s="7">
        <f t="shared" si="9"/>
        <v>2701656756</v>
      </c>
      <c r="E80" s="10">
        <v>0</v>
      </c>
      <c r="F80" s="7">
        <v>0</v>
      </c>
      <c r="G80" s="7">
        <v>0</v>
      </c>
      <c r="H80" s="7">
        <v>0</v>
      </c>
      <c r="I80" s="7">
        <f t="shared" si="10"/>
        <v>0</v>
      </c>
      <c r="J80" s="7">
        <f t="shared" si="11"/>
        <v>2701656756</v>
      </c>
    </row>
    <row r="81" spans="1:10">
      <c r="A81" s="3"/>
      <c r="B81" s="138"/>
      <c r="C81" s="7">
        <v>0</v>
      </c>
      <c r="D81" s="7">
        <f t="shared" si="9"/>
        <v>2701656756</v>
      </c>
      <c r="E81" s="10">
        <v>0</v>
      </c>
      <c r="F81" s="7">
        <v>0</v>
      </c>
      <c r="G81" s="7">
        <v>0</v>
      </c>
      <c r="H81" s="7">
        <v>0</v>
      </c>
      <c r="I81" s="7">
        <f t="shared" si="10"/>
        <v>0</v>
      </c>
      <c r="J81" s="7">
        <f t="shared" si="11"/>
        <v>2701656756</v>
      </c>
    </row>
    <row r="82" spans="1:10">
      <c r="A82" s="3"/>
      <c r="B82" s="138"/>
      <c r="C82" s="7">
        <v>0</v>
      </c>
      <c r="D82" s="7">
        <f t="shared" si="9"/>
        <v>2701656756</v>
      </c>
      <c r="E82" s="10">
        <v>0</v>
      </c>
      <c r="F82" s="7">
        <v>0</v>
      </c>
      <c r="G82" s="7">
        <v>0</v>
      </c>
      <c r="H82" s="7">
        <v>0</v>
      </c>
      <c r="I82" s="7">
        <f t="shared" si="10"/>
        <v>0</v>
      </c>
      <c r="J82" s="7">
        <f t="shared" si="11"/>
        <v>2701656756</v>
      </c>
    </row>
    <row r="83" spans="1:10">
      <c r="A83" s="3"/>
      <c r="B83" s="138"/>
      <c r="C83" s="7">
        <v>0</v>
      </c>
      <c r="D83" s="7">
        <f t="shared" si="9"/>
        <v>2701656756</v>
      </c>
      <c r="E83" s="10">
        <v>0</v>
      </c>
      <c r="F83" s="7">
        <v>0</v>
      </c>
      <c r="G83" s="7">
        <v>0</v>
      </c>
      <c r="H83" s="7">
        <v>0</v>
      </c>
      <c r="I83" s="7">
        <f t="shared" si="10"/>
        <v>0</v>
      </c>
      <c r="J83" s="7">
        <f t="shared" si="11"/>
        <v>2701656756</v>
      </c>
    </row>
    <row r="84" spans="1:10">
      <c r="A84" s="3"/>
      <c r="B84" s="138"/>
      <c r="C84" s="7">
        <v>0</v>
      </c>
      <c r="D84" s="7">
        <f t="shared" si="9"/>
        <v>2701656756</v>
      </c>
      <c r="E84" s="10">
        <v>0</v>
      </c>
      <c r="F84" s="7">
        <v>0</v>
      </c>
      <c r="G84" s="7">
        <v>0</v>
      </c>
      <c r="H84" s="7">
        <v>0</v>
      </c>
      <c r="I84" s="7">
        <f t="shared" si="10"/>
        <v>0</v>
      </c>
      <c r="J84" s="7">
        <f t="shared" si="11"/>
        <v>2701656756</v>
      </c>
    </row>
    <row r="85" spans="1:10">
      <c r="A85" s="3"/>
      <c r="B85" s="138"/>
      <c r="C85" s="7">
        <v>0</v>
      </c>
      <c r="D85" s="7">
        <f t="shared" si="9"/>
        <v>2701656756</v>
      </c>
      <c r="E85" s="10">
        <v>0</v>
      </c>
      <c r="F85" s="7">
        <v>0</v>
      </c>
      <c r="G85" s="7">
        <v>0</v>
      </c>
      <c r="H85" s="7">
        <v>0</v>
      </c>
      <c r="I85" s="7">
        <f t="shared" si="10"/>
        <v>0</v>
      </c>
      <c r="J85" s="7">
        <f t="shared" si="11"/>
        <v>2701656756</v>
      </c>
    </row>
    <row r="86" spans="1:10">
      <c r="A86" s="3"/>
      <c r="B86" s="138"/>
      <c r="C86" s="7">
        <v>0</v>
      </c>
      <c r="D86" s="7">
        <f t="shared" si="9"/>
        <v>2701656756</v>
      </c>
      <c r="E86" s="10">
        <v>0</v>
      </c>
      <c r="F86" s="7">
        <v>0</v>
      </c>
      <c r="G86" s="7">
        <v>0</v>
      </c>
      <c r="H86" s="7">
        <v>0</v>
      </c>
      <c r="I86" s="7">
        <f t="shared" si="10"/>
        <v>0</v>
      </c>
      <c r="J86" s="7">
        <f t="shared" si="11"/>
        <v>2701656756</v>
      </c>
    </row>
    <row r="87" spans="1:10">
      <c r="A87" s="3"/>
      <c r="B87" s="138"/>
      <c r="C87" s="7">
        <v>0</v>
      </c>
      <c r="D87" s="7">
        <f t="shared" si="9"/>
        <v>2701656756</v>
      </c>
      <c r="E87" s="10">
        <v>0</v>
      </c>
      <c r="F87" s="7">
        <v>0</v>
      </c>
      <c r="G87" s="7">
        <v>0</v>
      </c>
      <c r="H87" s="7">
        <v>0</v>
      </c>
      <c r="I87" s="7">
        <f t="shared" si="10"/>
        <v>0</v>
      </c>
      <c r="J87" s="7">
        <f t="shared" si="11"/>
        <v>2701656756</v>
      </c>
    </row>
    <row r="88" spans="1:10">
      <c r="A88" s="3"/>
      <c r="B88" s="138"/>
      <c r="C88" s="7">
        <v>0</v>
      </c>
      <c r="D88" s="7">
        <f t="shared" si="9"/>
        <v>2701656756</v>
      </c>
      <c r="E88" s="10">
        <v>0</v>
      </c>
      <c r="F88" s="7">
        <v>0</v>
      </c>
      <c r="G88" s="7">
        <v>0</v>
      </c>
      <c r="H88" s="7">
        <v>0</v>
      </c>
      <c r="I88" s="7">
        <f t="shared" si="10"/>
        <v>0</v>
      </c>
      <c r="J88" s="7">
        <f t="shared" si="11"/>
        <v>2701656756</v>
      </c>
    </row>
    <row r="89" spans="1:10">
      <c r="A89" s="3"/>
      <c r="B89" s="138"/>
      <c r="C89" s="7">
        <v>0</v>
      </c>
      <c r="D89" s="7">
        <f t="shared" si="9"/>
        <v>2701656756</v>
      </c>
      <c r="E89" s="10">
        <v>0</v>
      </c>
      <c r="F89" s="7">
        <v>0</v>
      </c>
      <c r="G89" s="7">
        <v>0</v>
      </c>
      <c r="H89" s="7">
        <v>0</v>
      </c>
      <c r="I89" s="7">
        <f t="shared" si="10"/>
        <v>0</v>
      </c>
      <c r="J89" s="7">
        <f t="shared" si="11"/>
        <v>2701656756</v>
      </c>
    </row>
    <row r="90" spans="1:10">
      <c r="A90" s="3"/>
      <c r="B90" s="138"/>
      <c r="C90" s="7">
        <v>0</v>
      </c>
      <c r="D90" s="7">
        <f t="shared" si="9"/>
        <v>2701656756</v>
      </c>
      <c r="E90" s="10">
        <v>0</v>
      </c>
      <c r="F90" s="7">
        <v>0</v>
      </c>
      <c r="G90" s="7">
        <v>0</v>
      </c>
      <c r="H90" s="7">
        <v>0</v>
      </c>
      <c r="I90" s="7">
        <f t="shared" si="10"/>
        <v>0</v>
      </c>
      <c r="J90" s="7">
        <f t="shared" si="11"/>
        <v>2701656756</v>
      </c>
    </row>
    <row r="91" spans="1:10">
      <c r="A91" s="3"/>
      <c r="B91" s="138"/>
      <c r="C91" s="7">
        <v>0</v>
      </c>
      <c r="D91" s="7">
        <f t="shared" si="9"/>
        <v>2701656756</v>
      </c>
      <c r="E91" s="10">
        <v>0</v>
      </c>
      <c r="F91" s="7">
        <v>0</v>
      </c>
      <c r="G91" s="7">
        <v>0</v>
      </c>
      <c r="H91" s="7">
        <v>0</v>
      </c>
      <c r="I91" s="7">
        <f t="shared" si="10"/>
        <v>0</v>
      </c>
      <c r="J91" s="7">
        <f t="shared" si="11"/>
        <v>2701656756</v>
      </c>
    </row>
    <row r="92" spans="1:10">
      <c r="A92" s="3"/>
      <c r="B92" s="138"/>
      <c r="C92" s="7">
        <v>0</v>
      </c>
      <c r="D92" s="7">
        <f t="shared" si="9"/>
        <v>2701656756</v>
      </c>
      <c r="E92" s="10">
        <v>0</v>
      </c>
      <c r="F92" s="7">
        <v>0</v>
      </c>
      <c r="G92" s="7">
        <v>0</v>
      </c>
      <c r="H92" s="7">
        <v>0</v>
      </c>
      <c r="I92" s="7">
        <f t="shared" si="10"/>
        <v>0</v>
      </c>
      <c r="J92" s="7">
        <f t="shared" si="11"/>
        <v>2701656756</v>
      </c>
    </row>
    <row r="93" spans="1:10">
      <c r="A93" s="3"/>
      <c r="B93" s="138"/>
      <c r="C93" s="7">
        <v>0</v>
      </c>
      <c r="D93" s="7">
        <f t="shared" si="9"/>
        <v>2701656756</v>
      </c>
      <c r="E93" s="10">
        <v>0</v>
      </c>
      <c r="F93" s="7">
        <v>0</v>
      </c>
      <c r="G93" s="7">
        <v>0</v>
      </c>
      <c r="H93" s="7">
        <v>0</v>
      </c>
      <c r="I93" s="7">
        <f t="shared" si="10"/>
        <v>0</v>
      </c>
      <c r="J93" s="7">
        <f t="shared" si="11"/>
        <v>2701656756</v>
      </c>
    </row>
    <row r="94" spans="1:10">
      <c r="A94" s="3"/>
      <c r="B94" s="138"/>
      <c r="C94" s="7">
        <v>0</v>
      </c>
      <c r="D94" s="7">
        <f t="shared" si="9"/>
        <v>2701656756</v>
      </c>
      <c r="E94" s="10">
        <v>0</v>
      </c>
      <c r="F94" s="7">
        <v>0</v>
      </c>
      <c r="G94" s="7">
        <v>0</v>
      </c>
      <c r="H94" s="7">
        <v>0</v>
      </c>
      <c r="I94" s="7">
        <f t="shared" si="10"/>
        <v>0</v>
      </c>
      <c r="J94" s="7">
        <f t="shared" si="11"/>
        <v>2701656756</v>
      </c>
    </row>
    <row r="95" spans="1:10">
      <c r="A95" s="3"/>
      <c r="B95" s="138"/>
      <c r="C95" s="7">
        <v>0</v>
      </c>
      <c r="D95" s="7">
        <f t="shared" si="9"/>
        <v>2701656756</v>
      </c>
      <c r="E95" s="10">
        <v>0</v>
      </c>
      <c r="F95" s="7">
        <v>0</v>
      </c>
      <c r="G95" s="7">
        <v>0</v>
      </c>
      <c r="H95" s="7">
        <v>0</v>
      </c>
      <c r="I95" s="7">
        <f t="shared" si="10"/>
        <v>0</v>
      </c>
      <c r="J95" s="7">
        <f t="shared" si="11"/>
        <v>2701656756</v>
      </c>
    </row>
    <row r="96" spans="1:10">
      <c r="A96" s="3"/>
      <c r="B96" s="138"/>
      <c r="C96" s="7">
        <v>0</v>
      </c>
      <c r="D96" s="7">
        <f t="shared" si="9"/>
        <v>2701656756</v>
      </c>
      <c r="E96" s="10">
        <v>0</v>
      </c>
      <c r="F96" s="7">
        <v>0</v>
      </c>
      <c r="G96" s="7">
        <v>0</v>
      </c>
      <c r="H96" s="7">
        <v>0</v>
      </c>
      <c r="I96" s="7">
        <f t="shared" si="10"/>
        <v>0</v>
      </c>
      <c r="J96" s="7">
        <f t="shared" si="11"/>
        <v>2701656756</v>
      </c>
    </row>
    <row r="97" spans="1:10">
      <c r="A97" s="3"/>
      <c r="B97" s="138"/>
      <c r="C97" s="7">
        <v>0</v>
      </c>
      <c r="D97" s="7">
        <f t="shared" si="9"/>
        <v>2701656756</v>
      </c>
      <c r="E97" s="10">
        <v>0</v>
      </c>
      <c r="F97" s="7">
        <v>0</v>
      </c>
      <c r="G97" s="7">
        <v>0</v>
      </c>
      <c r="H97" s="7">
        <v>0</v>
      </c>
      <c r="I97" s="7">
        <f t="shared" si="10"/>
        <v>0</v>
      </c>
      <c r="J97" s="7">
        <f t="shared" si="11"/>
        <v>2701656756</v>
      </c>
    </row>
    <row r="98" spans="1:10">
      <c r="A98" s="3"/>
      <c r="B98" s="138"/>
      <c r="C98" s="7">
        <v>0</v>
      </c>
      <c r="D98" s="7">
        <f t="shared" si="9"/>
        <v>2701656756</v>
      </c>
      <c r="E98" s="10">
        <v>0</v>
      </c>
      <c r="F98" s="7">
        <v>0</v>
      </c>
      <c r="G98" s="7">
        <v>0</v>
      </c>
      <c r="H98" s="7">
        <v>0</v>
      </c>
      <c r="I98" s="7">
        <f t="shared" si="10"/>
        <v>0</v>
      </c>
      <c r="J98" s="7">
        <f t="shared" si="11"/>
        <v>2701656756</v>
      </c>
    </row>
    <row r="99" spans="1:10">
      <c r="A99" s="3"/>
      <c r="B99" s="138"/>
      <c r="C99" s="7">
        <v>0</v>
      </c>
      <c r="D99" s="7">
        <f t="shared" si="9"/>
        <v>2701656756</v>
      </c>
      <c r="E99" s="10">
        <v>0</v>
      </c>
      <c r="F99" s="7">
        <v>0</v>
      </c>
      <c r="G99" s="7">
        <v>0</v>
      </c>
      <c r="H99" s="7">
        <v>0</v>
      </c>
      <c r="I99" s="7">
        <f t="shared" si="10"/>
        <v>0</v>
      </c>
      <c r="J99" s="7">
        <f t="shared" si="11"/>
        <v>2701656756</v>
      </c>
    </row>
    <row r="100" spans="1:10">
      <c r="A100" s="3"/>
      <c r="B100" s="138"/>
      <c r="C100" s="7">
        <v>0</v>
      </c>
      <c r="D100" s="7">
        <f t="shared" si="9"/>
        <v>2701656756</v>
      </c>
      <c r="E100" s="10">
        <v>0</v>
      </c>
      <c r="F100" s="7">
        <v>0</v>
      </c>
      <c r="G100" s="7">
        <v>0</v>
      </c>
      <c r="H100" s="7">
        <v>0</v>
      </c>
      <c r="I100" s="7">
        <f t="shared" si="10"/>
        <v>0</v>
      </c>
      <c r="J100" s="7">
        <f t="shared" si="11"/>
        <v>2701656756</v>
      </c>
    </row>
    <row r="101" spans="1:10">
      <c r="A101" s="3"/>
      <c r="B101" s="138"/>
      <c r="C101" s="7">
        <v>0</v>
      </c>
      <c r="D101" s="7">
        <f t="shared" si="9"/>
        <v>2701656756</v>
      </c>
      <c r="E101" s="10">
        <v>0</v>
      </c>
      <c r="F101" s="7">
        <v>0</v>
      </c>
      <c r="G101" s="7">
        <v>0</v>
      </c>
      <c r="H101" s="7">
        <v>0</v>
      </c>
      <c r="I101" s="7">
        <f t="shared" si="10"/>
        <v>0</v>
      </c>
      <c r="J101" s="7">
        <f t="shared" si="11"/>
        <v>2701656756</v>
      </c>
    </row>
    <row r="102" spans="1:10">
      <c r="A102" s="3"/>
      <c r="B102" s="138"/>
      <c r="C102" s="7">
        <v>0</v>
      </c>
      <c r="D102" s="7">
        <f t="shared" si="9"/>
        <v>2701656756</v>
      </c>
      <c r="E102" s="10">
        <v>0</v>
      </c>
      <c r="F102" s="7">
        <v>0</v>
      </c>
      <c r="G102" s="7">
        <v>0</v>
      </c>
      <c r="H102" s="7">
        <v>0</v>
      </c>
      <c r="I102" s="7">
        <f t="shared" si="10"/>
        <v>0</v>
      </c>
      <c r="J102" s="7">
        <f t="shared" si="11"/>
        <v>2701656756</v>
      </c>
    </row>
    <row r="103" spans="1:10">
      <c r="A103" s="3"/>
      <c r="B103" s="138"/>
      <c r="C103" s="7">
        <v>0</v>
      </c>
      <c r="D103" s="7">
        <f t="shared" si="9"/>
        <v>2701656756</v>
      </c>
      <c r="E103" s="10">
        <v>0</v>
      </c>
      <c r="F103" s="7">
        <v>0</v>
      </c>
      <c r="G103" s="7">
        <v>0</v>
      </c>
      <c r="H103" s="7">
        <v>0</v>
      </c>
      <c r="I103" s="7">
        <f t="shared" si="10"/>
        <v>0</v>
      </c>
      <c r="J103" s="7">
        <f t="shared" si="11"/>
        <v>2701656756</v>
      </c>
    </row>
    <row r="104" spans="1:10">
      <c r="A104" s="3"/>
      <c r="B104" s="138"/>
      <c r="C104" s="7">
        <v>0</v>
      </c>
      <c r="D104" s="7">
        <f t="shared" si="9"/>
        <v>2701656756</v>
      </c>
      <c r="E104" s="10">
        <v>0</v>
      </c>
      <c r="F104" s="7">
        <v>0</v>
      </c>
      <c r="G104" s="7">
        <v>0</v>
      </c>
      <c r="H104" s="7">
        <v>0</v>
      </c>
      <c r="I104" s="7">
        <f t="shared" si="10"/>
        <v>0</v>
      </c>
      <c r="J104" s="7">
        <f t="shared" si="11"/>
        <v>2701656756</v>
      </c>
    </row>
    <row r="105" spans="1:10">
      <c r="A105" s="3"/>
      <c r="B105" s="138"/>
      <c r="C105" s="7">
        <v>0</v>
      </c>
      <c r="D105" s="7">
        <f t="shared" si="9"/>
        <v>2701656756</v>
      </c>
      <c r="E105" s="10">
        <v>0</v>
      </c>
      <c r="F105" s="7">
        <v>0</v>
      </c>
      <c r="G105" s="7">
        <v>0</v>
      </c>
      <c r="H105" s="7">
        <v>0</v>
      </c>
      <c r="I105" s="7">
        <f t="shared" si="10"/>
        <v>0</v>
      </c>
      <c r="J105" s="7">
        <f t="shared" si="11"/>
        <v>2701656756</v>
      </c>
    </row>
    <row r="106" spans="1:10">
      <c r="A106" s="3"/>
      <c r="B106" s="138"/>
      <c r="C106" s="7">
        <v>0</v>
      </c>
      <c r="D106" s="7">
        <f t="shared" si="9"/>
        <v>2701656756</v>
      </c>
      <c r="E106" s="10">
        <v>0</v>
      </c>
      <c r="F106" s="7">
        <v>0</v>
      </c>
      <c r="G106" s="7">
        <v>0</v>
      </c>
      <c r="H106" s="7">
        <v>0</v>
      </c>
      <c r="I106" s="7">
        <f t="shared" si="10"/>
        <v>0</v>
      </c>
      <c r="J106" s="7">
        <f t="shared" si="11"/>
        <v>2701656756</v>
      </c>
    </row>
    <row r="107" spans="1:10">
      <c r="A107" s="3"/>
      <c r="B107" s="138"/>
      <c r="C107" s="7">
        <v>0</v>
      </c>
      <c r="D107" s="7">
        <f t="shared" si="9"/>
        <v>2701656756</v>
      </c>
      <c r="E107" s="10">
        <v>0</v>
      </c>
      <c r="F107" s="7">
        <v>0</v>
      </c>
      <c r="G107" s="7">
        <v>0</v>
      </c>
      <c r="H107" s="7">
        <v>0</v>
      </c>
      <c r="I107" s="7">
        <f t="shared" si="10"/>
        <v>0</v>
      </c>
      <c r="J107" s="7">
        <f t="shared" si="11"/>
        <v>2701656756</v>
      </c>
    </row>
    <row r="108" spans="1:10">
      <c r="A108" s="3"/>
      <c r="B108" s="138"/>
      <c r="C108" s="7">
        <v>0</v>
      </c>
      <c r="D108" s="7">
        <f t="shared" si="9"/>
        <v>2701656756</v>
      </c>
      <c r="E108" s="10">
        <v>0</v>
      </c>
      <c r="F108" s="7">
        <v>0</v>
      </c>
      <c r="G108" s="7">
        <v>0</v>
      </c>
      <c r="H108" s="7">
        <v>0</v>
      </c>
      <c r="I108" s="7">
        <f t="shared" si="10"/>
        <v>0</v>
      </c>
      <c r="J108" s="7">
        <f t="shared" si="11"/>
        <v>2701656756</v>
      </c>
    </row>
    <row r="109" spans="1:10">
      <c r="A109" s="3"/>
      <c r="B109" s="138"/>
      <c r="C109" s="7">
        <v>0</v>
      </c>
      <c r="D109" s="7">
        <f t="shared" si="9"/>
        <v>2701656756</v>
      </c>
      <c r="E109" s="10">
        <v>0</v>
      </c>
      <c r="F109" s="7">
        <v>0</v>
      </c>
      <c r="G109" s="7">
        <v>0</v>
      </c>
      <c r="H109" s="7">
        <v>0</v>
      </c>
      <c r="I109" s="7">
        <f t="shared" si="10"/>
        <v>0</v>
      </c>
      <c r="J109" s="7">
        <f t="shared" si="11"/>
        <v>2701656756</v>
      </c>
    </row>
    <row r="110" spans="1:10">
      <c r="A110" s="3"/>
      <c r="B110" s="138"/>
      <c r="C110" s="7">
        <v>0</v>
      </c>
      <c r="D110" s="7">
        <f t="shared" si="9"/>
        <v>2701656756</v>
      </c>
      <c r="E110" s="10">
        <v>0</v>
      </c>
      <c r="F110" s="7">
        <v>0</v>
      </c>
      <c r="G110" s="7">
        <v>0</v>
      </c>
      <c r="H110" s="7">
        <v>0</v>
      </c>
      <c r="I110" s="7">
        <f t="shared" si="10"/>
        <v>0</v>
      </c>
      <c r="J110" s="7">
        <f t="shared" si="11"/>
        <v>2701656756</v>
      </c>
    </row>
    <row r="111" spans="1:10">
      <c r="A111" s="3"/>
      <c r="B111" s="138"/>
      <c r="C111" s="7">
        <v>0</v>
      </c>
      <c r="D111" s="7">
        <f t="shared" si="9"/>
        <v>2701656756</v>
      </c>
      <c r="E111" s="10">
        <v>0</v>
      </c>
      <c r="F111" s="7">
        <v>0</v>
      </c>
      <c r="G111" s="7">
        <v>0</v>
      </c>
      <c r="H111" s="7">
        <v>0</v>
      </c>
      <c r="I111" s="7">
        <f t="shared" si="10"/>
        <v>0</v>
      </c>
      <c r="J111" s="7">
        <f t="shared" si="11"/>
        <v>2701656756</v>
      </c>
    </row>
    <row r="112" spans="1:10">
      <c r="A112" s="3"/>
      <c r="B112" s="138"/>
      <c r="C112" s="7">
        <v>0</v>
      </c>
      <c r="D112" s="7">
        <f t="shared" si="9"/>
        <v>2701656756</v>
      </c>
      <c r="E112" s="10">
        <v>0</v>
      </c>
      <c r="F112" s="7">
        <v>0</v>
      </c>
      <c r="G112" s="7">
        <v>0</v>
      </c>
      <c r="H112" s="7">
        <v>0</v>
      </c>
      <c r="I112" s="7">
        <f t="shared" si="10"/>
        <v>0</v>
      </c>
      <c r="J112" s="7">
        <f t="shared" si="11"/>
        <v>2701656756</v>
      </c>
    </row>
    <row r="113" spans="1:10">
      <c r="A113" s="3"/>
      <c r="B113" s="138"/>
      <c r="C113" s="7">
        <v>0</v>
      </c>
      <c r="D113" s="7">
        <f t="shared" si="9"/>
        <v>2701656756</v>
      </c>
      <c r="E113" s="10">
        <v>0</v>
      </c>
      <c r="F113" s="7">
        <v>0</v>
      </c>
      <c r="G113" s="7">
        <v>0</v>
      </c>
      <c r="H113" s="7">
        <v>0</v>
      </c>
      <c r="I113" s="7">
        <f t="shared" si="10"/>
        <v>0</v>
      </c>
      <c r="J113" s="7">
        <f t="shared" si="11"/>
        <v>2701656756</v>
      </c>
    </row>
    <row r="114" spans="1:10">
      <c r="A114" s="3"/>
      <c r="B114" s="138"/>
      <c r="C114" s="7">
        <v>0</v>
      </c>
      <c r="D114" s="7">
        <f t="shared" si="9"/>
        <v>2701656756</v>
      </c>
      <c r="E114" s="10">
        <v>0</v>
      </c>
      <c r="F114" s="7">
        <v>0</v>
      </c>
      <c r="G114" s="7">
        <v>0</v>
      </c>
      <c r="H114" s="7">
        <v>0</v>
      </c>
      <c r="I114" s="7">
        <f t="shared" si="10"/>
        <v>0</v>
      </c>
      <c r="J114" s="7">
        <f t="shared" si="11"/>
        <v>2701656756</v>
      </c>
    </row>
    <row r="115" spans="1:10">
      <c r="A115" s="3"/>
      <c r="B115" s="138"/>
      <c r="C115" s="7">
        <v>0</v>
      </c>
      <c r="D115" s="7">
        <f t="shared" si="9"/>
        <v>2701656756</v>
      </c>
      <c r="E115" s="10">
        <v>0</v>
      </c>
      <c r="F115" s="7">
        <v>0</v>
      </c>
      <c r="G115" s="7">
        <v>0</v>
      </c>
      <c r="H115" s="7">
        <v>0</v>
      </c>
      <c r="I115" s="7">
        <f t="shared" si="10"/>
        <v>0</v>
      </c>
      <c r="J115" s="7">
        <f t="shared" si="11"/>
        <v>2701656756</v>
      </c>
    </row>
    <row r="116" spans="1:10">
      <c r="A116" s="3"/>
      <c r="B116" s="138"/>
      <c r="C116" s="7">
        <v>0</v>
      </c>
      <c r="D116" s="7">
        <f t="shared" si="9"/>
        <v>2701656756</v>
      </c>
      <c r="E116" s="10">
        <v>0</v>
      </c>
      <c r="F116" s="7">
        <v>0</v>
      </c>
      <c r="G116" s="7">
        <v>0</v>
      </c>
      <c r="H116" s="7">
        <v>0</v>
      </c>
      <c r="I116" s="7">
        <f t="shared" si="10"/>
        <v>0</v>
      </c>
      <c r="J116" s="7">
        <f t="shared" si="11"/>
        <v>2701656756</v>
      </c>
    </row>
    <row r="117" spans="1:10">
      <c r="A117" s="3"/>
      <c r="B117" s="138"/>
      <c r="C117" s="7">
        <v>0</v>
      </c>
      <c r="D117" s="7">
        <f t="shared" si="9"/>
        <v>2701656756</v>
      </c>
      <c r="E117" s="10">
        <v>0</v>
      </c>
      <c r="F117" s="7">
        <v>0</v>
      </c>
      <c r="G117" s="7">
        <v>0</v>
      </c>
      <c r="H117" s="7">
        <v>0</v>
      </c>
      <c r="I117" s="7">
        <f t="shared" si="10"/>
        <v>0</v>
      </c>
      <c r="J117" s="7">
        <f t="shared" si="11"/>
        <v>2701656756</v>
      </c>
    </row>
    <row r="118" spans="1:10">
      <c r="A118" s="3"/>
      <c r="B118" s="138"/>
      <c r="C118" s="7">
        <v>0</v>
      </c>
      <c r="D118" s="7">
        <f t="shared" si="9"/>
        <v>2701656756</v>
      </c>
      <c r="E118" s="10">
        <v>0</v>
      </c>
      <c r="F118" s="7">
        <v>0</v>
      </c>
      <c r="G118" s="7">
        <v>0</v>
      </c>
      <c r="H118" s="7">
        <v>0</v>
      </c>
      <c r="I118" s="7">
        <f t="shared" si="10"/>
        <v>0</v>
      </c>
      <c r="J118" s="7">
        <f t="shared" si="11"/>
        <v>2701656756</v>
      </c>
    </row>
    <row r="119" spans="1:10">
      <c r="A119" s="3"/>
      <c r="B119" s="138"/>
      <c r="C119" s="7">
        <v>0</v>
      </c>
      <c r="D119" s="7">
        <f t="shared" si="9"/>
        <v>2701656756</v>
      </c>
      <c r="E119" s="10">
        <v>0</v>
      </c>
      <c r="F119" s="7">
        <v>0</v>
      </c>
      <c r="G119" s="7">
        <v>0</v>
      </c>
      <c r="H119" s="7">
        <v>0</v>
      </c>
      <c r="I119" s="7">
        <f t="shared" si="10"/>
        <v>0</v>
      </c>
      <c r="J119" s="7">
        <f t="shared" si="11"/>
        <v>2701656756</v>
      </c>
    </row>
    <row r="120" spans="1:10">
      <c r="A120" s="3"/>
      <c r="B120" s="138"/>
      <c r="C120" s="7">
        <v>0</v>
      </c>
      <c r="D120" s="7">
        <f t="shared" si="9"/>
        <v>2701656756</v>
      </c>
      <c r="E120" s="10">
        <v>0</v>
      </c>
      <c r="F120" s="7">
        <v>0</v>
      </c>
      <c r="G120" s="7">
        <v>0</v>
      </c>
      <c r="H120" s="7">
        <v>0</v>
      </c>
      <c r="I120" s="7">
        <f t="shared" si="10"/>
        <v>0</v>
      </c>
      <c r="J120" s="7">
        <f t="shared" si="11"/>
        <v>2701656756</v>
      </c>
    </row>
    <row r="121" spans="1:10">
      <c r="A121" s="3"/>
      <c r="B121" s="138"/>
      <c r="C121" s="7">
        <v>0</v>
      </c>
      <c r="D121" s="7">
        <f t="shared" si="9"/>
        <v>2701656756</v>
      </c>
      <c r="E121" s="10">
        <v>0</v>
      </c>
      <c r="F121" s="7">
        <v>0</v>
      </c>
      <c r="G121" s="7">
        <v>0</v>
      </c>
      <c r="H121" s="7">
        <v>0</v>
      </c>
      <c r="I121" s="7">
        <f t="shared" si="10"/>
        <v>0</v>
      </c>
      <c r="J121" s="7">
        <f t="shared" si="11"/>
        <v>2701656756</v>
      </c>
    </row>
    <row r="122" spans="1:10">
      <c r="A122" s="3"/>
      <c r="B122" s="138"/>
      <c r="C122" s="7">
        <v>0</v>
      </c>
      <c r="D122" s="7">
        <f t="shared" si="9"/>
        <v>2701656756</v>
      </c>
      <c r="E122" s="10">
        <v>0</v>
      </c>
      <c r="F122" s="7">
        <v>0</v>
      </c>
      <c r="G122" s="7">
        <v>0</v>
      </c>
      <c r="H122" s="7">
        <v>0</v>
      </c>
      <c r="I122" s="7">
        <f t="shared" si="10"/>
        <v>0</v>
      </c>
      <c r="J122" s="7">
        <f t="shared" si="11"/>
        <v>2701656756</v>
      </c>
    </row>
    <row r="123" spans="1:10">
      <c r="A123" s="3"/>
      <c r="B123" s="138"/>
      <c r="C123" s="7">
        <v>0</v>
      </c>
      <c r="D123" s="7">
        <f t="shared" si="9"/>
        <v>2701656756</v>
      </c>
      <c r="E123" s="10">
        <v>0</v>
      </c>
      <c r="F123" s="7">
        <v>0</v>
      </c>
      <c r="G123" s="7">
        <v>0</v>
      </c>
      <c r="H123" s="7">
        <v>0</v>
      </c>
      <c r="I123" s="7">
        <f t="shared" si="10"/>
        <v>0</v>
      </c>
      <c r="J123" s="7">
        <f t="shared" si="11"/>
        <v>2701656756</v>
      </c>
    </row>
    <row r="124" spans="1:10">
      <c r="A124" s="3"/>
      <c r="B124" s="138"/>
      <c r="C124" s="7">
        <v>0</v>
      </c>
      <c r="D124" s="7">
        <f t="shared" si="9"/>
        <v>2701656756</v>
      </c>
      <c r="E124" s="10">
        <v>0</v>
      </c>
      <c r="F124" s="7">
        <v>0</v>
      </c>
      <c r="G124" s="7">
        <v>0</v>
      </c>
      <c r="H124" s="7">
        <v>0</v>
      </c>
      <c r="I124" s="7">
        <f t="shared" si="10"/>
        <v>0</v>
      </c>
      <c r="J124" s="7">
        <f t="shared" si="11"/>
        <v>2701656756</v>
      </c>
    </row>
    <row r="125" spans="1:10">
      <c r="A125" s="3"/>
      <c r="B125" s="138"/>
      <c r="C125" s="7">
        <v>0</v>
      </c>
      <c r="D125" s="7">
        <f t="shared" si="9"/>
        <v>2701656756</v>
      </c>
      <c r="E125" s="10">
        <v>0</v>
      </c>
      <c r="F125" s="7">
        <v>0</v>
      </c>
      <c r="G125" s="7">
        <v>0</v>
      </c>
      <c r="H125" s="7">
        <v>0</v>
      </c>
      <c r="I125" s="7">
        <f t="shared" si="10"/>
        <v>0</v>
      </c>
      <c r="J125" s="7">
        <f t="shared" si="11"/>
        <v>2701656756</v>
      </c>
    </row>
    <row r="126" spans="1:10">
      <c r="A126" s="3"/>
      <c r="B126" s="138"/>
      <c r="C126" s="7">
        <v>0</v>
      </c>
      <c r="D126" s="7">
        <f t="shared" ref="D126:D142" si="12">J125</f>
        <v>2701656756</v>
      </c>
      <c r="E126" s="10">
        <v>0</v>
      </c>
      <c r="F126" s="7">
        <v>0</v>
      </c>
      <c r="G126" s="7">
        <v>0</v>
      </c>
      <c r="H126" s="7">
        <v>0</v>
      </c>
      <c r="I126" s="7">
        <f t="shared" ref="I126:I142" si="13">SUM(F126:G126)</f>
        <v>0</v>
      </c>
      <c r="J126" s="7">
        <f t="shared" ref="J126:J142" si="14">D126+C126-I126+E126</f>
        <v>2701656756</v>
      </c>
    </row>
    <row r="127" spans="1:10">
      <c r="A127" s="3"/>
      <c r="B127" s="138"/>
      <c r="C127" s="7">
        <v>0</v>
      </c>
      <c r="D127" s="7">
        <f t="shared" si="12"/>
        <v>2701656756</v>
      </c>
      <c r="E127" s="10">
        <v>0</v>
      </c>
      <c r="F127" s="7">
        <v>0</v>
      </c>
      <c r="G127" s="7">
        <v>0</v>
      </c>
      <c r="H127" s="7">
        <v>0</v>
      </c>
      <c r="I127" s="7">
        <f t="shared" si="13"/>
        <v>0</v>
      </c>
      <c r="J127" s="7">
        <f t="shared" si="14"/>
        <v>2701656756</v>
      </c>
    </row>
    <row r="128" spans="1:10">
      <c r="A128" s="3"/>
      <c r="B128" s="138"/>
      <c r="C128" s="7">
        <v>0</v>
      </c>
      <c r="D128" s="7">
        <f t="shared" si="12"/>
        <v>2701656756</v>
      </c>
      <c r="E128" s="10">
        <v>0</v>
      </c>
      <c r="F128" s="7">
        <v>0</v>
      </c>
      <c r="G128" s="7">
        <v>0</v>
      </c>
      <c r="H128" s="7">
        <v>0</v>
      </c>
      <c r="I128" s="7">
        <f t="shared" si="13"/>
        <v>0</v>
      </c>
      <c r="J128" s="7">
        <f t="shared" si="14"/>
        <v>2701656756</v>
      </c>
    </row>
    <row r="129" spans="1:10">
      <c r="A129" s="3"/>
      <c r="B129" s="138"/>
      <c r="C129" s="7">
        <v>0</v>
      </c>
      <c r="D129" s="7">
        <f t="shared" si="12"/>
        <v>2701656756</v>
      </c>
      <c r="E129" s="10">
        <v>0</v>
      </c>
      <c r="F129" s="7">
        <v>0</v>
      </c>
      <c r="G129" s="7">
        <v>0</v>
      </c>
      <c r="H129" s="7">
        <v>0</v>
      </c>
      <c r="I129" s="7">
        <f t="shared" si="13"/>
        <v>0</v>
      </c>
      <c r="J129" s="7">
        <f t="shared" si="14"/>
        <v>2701656756</v>
      </c>
    </row>
    <row r="130" spans="1:10">
      <c r="A130" s="3"/>
      <c r="B130" s="138"/>
      <c r="C130" s="7">
        <v>0</v>
      </c>
      <c r="D130" s="7">
        <f t="shared" si="12"/>
        <v>2701656756</v>
      </c>
      <c r="E130" s="10">
        <v>0</v>
      </c>
      <c r="F130" s="7">
        <v>0</v>
      </c>
      <c r="G130" s="7">
        <v>0</v>
      </c>
      <c r="H130" s="7">
        <v>0</v>
      </c>
      <c r="I130" s="7">
        <f t="shared" si="13"/>
        <v>0</v>
      </c>
      <c r="J130" s="7">
        <f t="shared" si="14"/>
        <v>2701656756</v>
      </c>
    </row>
    <row r="131" spans="1:10">
      <c r="A131" s="3"/>
      <c r="B131" s="138"/>
      <c r="C131" s="7">
        <v>0</v>
      </c>
      <c r="D131" s="7">
        <f t="shared" si="12"/>
        <v>2701656756</v>
      </c>
      <c r="E131" s="10">
        <v>0</v>
      </c>
      <c r="F131" s="7">
        <v>0</v>
      </c>
      <c r="G131" s="7">
        <v>0</v>
      </c>
      <c r="H131" s="7">
        <v>0</v>
      </c>
      <c r="I131" s="7">
        <f t="shared" si="13"/>
        <v>0</v>
      </c>
      <c r="J131" s="7">
        <f t="shared" si="14"/>
        <v>2701656756</v>
      </c>
    </row>
    <row r="132" spans="1:10">
      <c r="A132" s="3"/>
      <c r="B132" s="138"/>
      <c r="C132" s="7">
        <v>0</v>
      </c>
      <c r="D132" s="7">
        <f t="shared" si="12"/>
        <v>2701656756</v>
      </c>
      <c r="E132" s="10">
        <v>0</v>
      </c>
      <c r="F132" s="7">
        <v>0</v>
      </c>
      <c r="G132" s="7">
        <v>0</v>
      </c>
      <c r="H132" s="7">
        <v>0</v>
      </c>
      <c r="I132" s="7">
        <f t="shared" si="13"/>
        <v>0</v>
      </c>
      <c r="J132" s="7">
        <f t="shared" si="14"/>
        <v>2701656756</v>
      </c>
    </row>
    <row r="133" spans="1:10">
      <c r="A133" s="3"/>
      <c r="B133" s="138"/>
      <c r="C133" s="7">
        <v>0</v>
      </c>
      <c r="D133" s="7">
        <f t="shared" si="12"/>
        <v>2701656756</v>
      </c>
      <c r="E133" s="10">
        <v>0</v>
      </c>
      <c r="F133" s="7">
        <v>0</v>
      </c>
      <c r="G133" s="7">
        <v>0</v>
      </c>
      <c r="H133" s="7">
        <v>0</v>
      </c>
      <c r="I133" s="7">
        <f t="shared" si="13"/>
        <v>0</v>
      </c>
      <c r="J133" s="7">
        <f t="shared" si="14"/>
        <v>2701656756</v>
      </c>
    </row>
    <row r="134" spans="1:10">
      <c r="A134" s="3"/>
      <c r="B134" s="138"/>
      <c r="C134" s="7">
        <v>0</v>
      </c>
      <c r="D134" s="7">
        <f t="shared" si="12"/>
        <v>2701656756</v>
      </c>
      <c r="E134" s="10">
        <v>0</v>
      </c>
      <c r="F134" s="7">
        <v>0</v>
      </c>
      <c r="G134" s="7">
        <v>0</v>
      </c>
      <c r="H134" s="7">
        <v>0</v>
      </c>
      <c r="I134" s="7">
        <f t="shared" si="13"/>
        <v>0</v>
      </c>
      <c r="J134" s="7">
        <f t="shared" si="14"/>
        <v>2701656756</v>
      </c>
    </row>
    <row r="135" spans="1:10">
      <c r="A135" s="3"/>
      <c r="B135" s="138"/>
      <c r="C135" s="7">
        <v>0</v>
      </c>
      <c r="D135" s="7">
        <f t="shared" si="12"/>
        <v>2701656756</v>
      </c>
      <c r="E135" s="10">
        <v>0</v>
      </c>
      <c r="F135" s="7">
        <v>0</v>
      </c>
      <c r="G135" s="7">
        <v>0</v>
      </c>
      <c r="H135" s="7">
        <v>0</v>
      </c>
      <c r="I135" s="7">
        <f t="shared" si="13"/>
        <v>0</v>
      </c>
      <c r="J135" s="7">
        <f t="shared" si="14"/>
        <v>2701656756</v>
      </c>
    </row>
    <row r="136" spans="1:10">
      <c r="A136" s="3"/>
      <c r="B136" s="138"/>
      <c r="C136" s="7">
        <v>0</v>
      </c>
      <c r="D136" s="7">
        <f t="shared" si="12"/>
        <v>2701656756</v>
      </c>
      <c r="E136" s="10">
        <v>0</v>
      </c>
      <c r="F136" s="7">
        <v>0</v>
      </c>
      <c r="G136" s="7">
        <v>0</v>
      </c>
      <c r="H136" s="7">
        <v>0</v>
      </c>
      <c r="I136" s="7">
        <f t="shared" si="13"/>
        <v>0</v>
      </c>
      <c r="J136" s="7">
        <f t="shared" si="14"/>
        <v>2701656756</v>
      </c>
    </row>
    <row r="137" spans="1:10">
      <c r="A137" s="3"/>
      <c r="B137" s="138"/>
      <c r="C137" s="7">
        <v>0</v>
      </c>
      <c r="D137" s="7">
        <f t="shared" si="12"/>
        <v>2701656756</v>
      </c>
      <c r="E137" s="10">
        <v>0</v>
      </c>
      <c r="F137" s="7">
        <v>0</v>
      </c>
      <c r="G137" s="7">
        <v>0</v>
      </c>
      <c r="H137" s="7">
        <v>0</v>
      </c>
      <c r="I137" s="7">
        <f t="shared" si="13"/>
        <v>0</v>
      </c>
      <c r="J137" s="7">
        <f t="shared" si="14"/>
        <v>2701656756</v>
      </c>
    </row>
    <row r="138" spans="1:10">
      <c r="A138" s="3"/>
      <c r="B138" s="138"/>
      <c r="C138" s="7">
        <v>0</v>
      </c>
      <c r="D138" s="7">
        <f t="shared" si="12"/>
        <v>2701656756</v>
      </c>
      <c r="E138" s="10">
        <v>0</v>
      </c>
      <c r="F138" s="7">
        <v>0</v>
      </c>
      <c r="G138" s="7">
        <v>0</v>
      </c>
      <c r="H138" s="7">
        <v>0</v>
      </c>
      <c r="I138" s="7">
        <f t="shared" si="13"/>
        <v>0</v>
      </c>
      <c r="J138" s="7">
        <f t="shared" si="14"/>
        <v>2701656756</v>
      </c>
    </row>
    <row r="139" spans="1:10">
      <c r="A139" s="3"/>
      <c r="B139" s="138"/>
      <c r="C139" s="7">
        <v>0</v>
      </c>
      <c r="D139" s="7">
        <f t="shared" si="12"/>
        <v>2701656756</v>
      </c>
      <c r="E139" s="10">
        <v>0</v>
      </c>
      <c r="F139" s="7">
        <v>0</v>
      </c>
      <c r="G139" s="7">
        <v>0</v>
      </c>
      <c r="H139" s="7">
        <v>0</v>
      </c>
      <c r="I139" s="7">
        <f t="shared" si="13"/>
        <v>0</v>
      </c>
      <c r="J139" s="7">
        <f t="shared" si="14"/>
        <v>2701656756</v>
      </c>
    </row>
    <row r="140" spans="1:10">
      <c r="A140" s="3"/>
      <c r="B140" s="138"/>
      <c r="C140" s="7">
        <v>0</v>
      </c>
      <c r="D140" s="7">
        <f t="shared" si="12"/>
        <v>2701656756</v>
      </c>
      <c r="E140" s="10">
        <v>0</v>
      </c>
      <c r="F140" s="7">
        <v>0</v>
      </c>
      <c r="G140" s="7">
        <v>0</v>
      </c>
      <c r="H140" s="7">
        <v>0</v>
      </c>
      <c r="I140" s="7">
        <f t="shared" si="13"/>
        <v>0</v>
      </c>
      <c r="J140" s="7">
        <f t="shared" si="14"/>
        <v>2701656756</v>
      </c>
    </row>
    <row r="141" spans="1:10">
      <c r="A141" s="3"/>
      <c r="B141" s="138"/>
      <c r="C141" s="7">
        <v>0</v>
      </c>
      <c r="D141" s="7">
        <f t="shared" si="12"/>
        <v>2701656756</v>
      </c>
      <c r="E141" s="10">
        <v>0</v>
      </c>
      <c r="F141" s="7">
        <v>0</v>
      </c>
      <c r="G141" s="7">
        <v>0</v>
      </c>
      <c r="H141" s="7">
        <v>0</v>
      </c>
      <c r="I141" s="7">
        <f t="shared" si="13"/>
        <v>0</v>
      </c>
      <c r="J141" s="7">
        <f t="shared" si="14"/>
        <v>2701656756</v>
      </c>
    </row>
    <row r="142" spans="1:10">
      <c r="A142" s="3"/>
      <c r="B142" s="138"/>
      <c r="C142" s="7">
        <v>0</v>
      </c>
      <c r="D142" s="7">
        <f t="shared" si="12"/>
        <v>2701656756</v>
      </c>
      <c r="E142" s="10">
        <v>0</v>
      </c>
      <c r="F142" s="7">
        <v>0</v>
      </c>
      <c r="G142" s="7">
        <v>0</v>
      </c>
      <c r="H142" s="7">
        <v>0</v>
      </c>
      <c r="I142" s="7">
        <f t="shared" si="13"/>
        <v>0</v>
      </c>
      <c r="J142" s="7">
        <f t="shared" si="14"/>
        <v>2701656756</v>
      </c>
    </row>
    <row r="143" spans="1:10" s="13" customFormat="1" ht="15">
      <c r="A143" s="4" t="s">
        <v>15</v>
      </c>
      <c r="B143" s="141"/>
      <c r="C143" s="12">
        <f>SUM(C4:C142)</f>
        <v>11000000000</v>
      </c>
      <c r="D143" s="12"/>
      <c r="E143" s="12">
        <f t="shared" ref="E143:I143" si="15">SUM(E4:E142)</f>
        <v>78250165</v>
      </c>
      <c r="F143" s="12">
        <f t="shared" si="15"/>
        <v>77323044</v>
      </c>
      <c r="G143" s="12">
        <f t="shared" si="15"/>
        <v>8299270365</v>
      </c>
      <c r="H143" s="12">
        <f t="shared" si="15"/>
        <v>0</v>
      </c>
      <c r="I143" s="12">
        <f t="shared" si="15"/>
        <v>8376593409</v>
      </c>
      <c r="J143" s="57">
        <f>+C143+E143-F143-G143-H143</f>
        <v>2701656756</v>
      </c>
    </row>
    <row r="149" spans="3:8">
      <c r="G149" s="11"/>
      <c r="H149" s="11"/>
    </row>
    <row r="151" spans="3:8">
      <c r="C151" s="1"/>
      <c r="D151" s="11"/>
    </row>
    <row r="152" spans="3:8">
      <c r="G152" s="11"/>
      <c r="H152" s="11"/>
    </row>
  </sheetData>
  <mergeCells count="10">
    <mergeCell ref="A1:J1"/>
    <mergeCell ref="G2:H2"/>
    <mergeCell ref="F2:F3"/>
    <mergeCell ref="J2:J3"/>
    <mergeCell ref="I2:I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48" orientation="landscape" verticalDpi="599" r:id="rId1"/>
  <ignoredErrors>
    <ignoredError sqref="I4:I10 I18:I20 I26:I27 I12:I16 I30:I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L206"/>
  <sheetViews>
    <sheetView topLeftCell="A95" zoomScaleNormal="100" workbookViewId="0">
      <selection activeCell="D101" sqref="D101"/>
    </sheetView>
  </sheetViews>
  <sheetFormatPr baseColWidth="10" defaultColWidth="11.42578125" defaultRowHeight="14.25"/>
  <cols>
    <col min="1" max="1" width="34.28515625" style="16" customWidth="1"/>
    <col min="2" max="3" width="20.5703125" style="44" customWidth="1"/>
    <col min="4" max="5" width="23.28515625" style="16" customWidth="1"/>
    <col min="6" max="6" width="18.140625" style="16" customWidth="1"/>
    <col min="7" max="7" width="11.42578125" style="16"/>
    <col min="8" max="8" width="22.7109375" style="16" customWidth="1"/>
    <col min="9" max="9" width="18.28515625" style="16" bestFit="1" customWidth="1"/>
    <col min="10" max="11" width="18.5703125" style="16" bestFit="1" customWidth="1"/>
    <col min="12" max="12" width="14.42578125" style="16" bestFit="1" customWidth="1"/>
    <col min="13" max="16384" width="11.42578125" style="16"/>
  </cols>
  <sheetData>
    <row r="2" spans="1:5" s="15" customFormat="1" ht="18" customHeight="1">
      <c r="A2" s="14" t="s">
        <v>16</v>
      </c>
      <c r="B2" s="14"/>
      <c r="C2" s="14"/>
      <c r="D2" s="14"/>
      <c r="E2" s="14"/>
    </row>
    <row r="3" spans="1:5" ht="47.25" customHeight="1">
      <c r="A3" s="85" t="s">
        <v>17</v>
      </c>
      <c r="B3" s="86" t="s">
        <v>18</v>
      </c>
      <c r="C3" s="86"/>
      <c r="D3" s="86"/>
      <c r="E3" s="86"/>
    </row>
    <row r="4" spans="1:5" ht="18.75" customHeight="1">
      <c r="A4" s="85" t="s">
        <v>19</v>
      </c>
      <c r="B4" s="87">
        <v>45582</v>
      </c>
      <c r="C4" s="85" t="s">
        <v>20</v>
      </c>
      <c r="D4" s="87">
        <v>45589</v>
      </c>
      <c r="E4" s="88"/>
    </row>
    <row r="5" spans="1:5" ht="18.75" customHeight="1">
      <c r="A5" s="85" t="s">
        <v>21</v>
      </c>
      <c r="B5" s="89" t="s">
        <v>22</v>
      </c>
      <c r="C5" s="90">
        <v>39</v>
      </c>
      <c r="D5" s="17" t="s">
        <v>23</v>
      </c>
      <c r="E5" s="91">
        <f>+C5*30</f>
        <v>1170</v>
      </c>
    </row>
    <row r="6" spans="1:5" ht="18.75" customHeight="1">
      <c r="A6" s="85" t="s">
        <v>24</v>
      </c>
      <c r="B6" s="87">
        <v>46752</v>
      </c>
      <c r="C6" s="92"/>
      <c r="D6" s="93"/>
      <c r="E6" s="93"/>
    </row>
    <row r="7" spans="1:5" ht="18.75" customHeight="1">
      <c r="A7" s="85" t="s">
        <v>25</v>
      </c>
      <c r="B7" s="87">
        <v>46020</v>
      </c>
      <c r="C7" s="92"/>
      <c r="D7" s="93"/>
      <c r="E7" s="93"/>
    </row>
    <row r="8" spans="1:5" ht="18.75" customHeight="1">
      <c r="A8" s="85" t="s">
        <v>26</v>
      </c>
      <c r="B8" s="88">
        <v>1462022598</v>
      </c>
      <c r="C8" s="92"/>
      <c r="D8" s="93"/>
      <c r="E8" s="93"/>
    </row>
    <row r="9" spans="1:5" ht="15">
      <c r="A9" s="4" t="s">
        <v>27</v>
      </c>
      <c r="B9" s="4"/>
      <c r="C9" s="4"/>
      <c r="D9" s="4"/>
      <c r="E9" s="4"/>
    </row>
    <row r="10" spans="1:5" s="19" customFormat="1" ht="15">
      <c r="A10" s="94" t="s">
        <v>28</v>
      </c>
      <c r="B10" s="17" t="s">
        <v>29</v>
      </c>
      <c r="C10" s="94" t="s">
        <v>30</v>
      </c>
      <c r="D10" s="18" t="s">
        <v>31</v>
      </c>
      <c r="E10" s="18"/>
    </row>
    <row r="11" spans="1:5" ht="15">
      <c r="A11" s="87">
        <v>44918</v>
      </c>
      <c r="B11" s="94">
        <v>2024</v>
      </c>
      <c r="C11" s="88">
        <v>5000000000</v>
      </c>
      <c r="D11" s="20" t="s">
        <v>32</v>
      </c>
      <c r="E11" s="21"/>
    </row>
    <row r="12" spans="1:5" ht="15">
      <c r="A12" s="87">
        <v>44918</v>
      </c>
      <c r="B12" s="94">
        <v>2025</v>
      </c>
      <c r="C12" s="88">
        <v>1500000000</v>
      </c>
      <c r="D12" s="20" t="s">
        <v>33</v>
      </c>
      <c r="E12" s="21"/>
    </row>
    <row r="13" spans="1:5" ht="15">
      <c r="A13" s="87">
        <v>44918</v>
      </c>
      <c r="B13" s="94">
        <v>2025</v>
      </c>
      <c r="C13" s="88">
        <v>1500000000</v>
      </c>
      <c r="D13" s="20" t="s">
        <v>34</v>
      </c>
      <c r="E13" s="21"/>
    </row>
    <row r="14" spans="1:5" ht="15">
      <c r="A14" s="87">
        <v>44918</v>
      </c>
      <c r="B14" s="94">
        <v>2025</v>
      </c>
      <c r="C14" s="88">
        <v>1500000000</v>
      </c>
      <c r="D14" s="20" t="s">
        <v>35</v>
      </c>
      <c r="E14" s="21"/>
    </row>
    <row r="15" spans="1:5" ht="15">
      <c r="A15" s="87">
        <v>44918</v>
      </c>
      <c r="B15" s="94">
        <v>2025</v>
      </c>
      <c r="C15" s="88">
        <v>1500000000</v>
      </c>
      <c r="D15" s="20" t="s">
        <v>36</v>
      </c>
      <c r="E15" s="21"/>
    </row>
    <row r="16" spans="1:5" ht="15">
      <c r="A16" s="87">
        <v>44918</v>
      </c>
      <c r="B16" s="94">
        <v>2026</v>
      </c>
      <c r="C16" s="88">
        <v>1750000000</v>
      </c>
      <c r="D16" s="20" t="s">
        <v>37</v>
      </c>
      <c r="E16" s="21"/>
    </row>
    <row r="17" spans="1:12" ht="15">
      <c r="A17" s="87">
        <v>44918</v>
      </c>
      <c r="B17" s="94">
        <v>2026</v>
      </c>
      <c r="C17" s="88">
        <v>1750000000</v>
      </c>
      <c r="D17" s="20" t="s">
        <v>38</v>
      </c>
      <c r="E17" s="21"/>
    </row>
    <row r="18" spans="1:12" ht="15">
      <c r="A18" s="87">
        <v>44918</v>
      </c>
      <c r="B18" s="94">
        <v>2026</v>
      </c>
      <c r="C18" s="88">
        <v>1750000000</v>
      </c>
      <c r="D18" s="20" t="s">
        <v>39</v>
      </c>
      <c r="E18" s="21"/>
    </row>
    <row r="19" spans="1:12" ht="15">
      <c r="A19" s="87">
        <v>44918</v>
      </c>
      <c r="B19" s="94">
        <v>2026</v>
      </c>
      <c r="C19" s="88">
        <v>1750000000</v>
      </c>
      <c r="D19" s="20" t="s">
        <v>40</v>
      </c>
      <c r="E19" s="21"/>
      <c r="J19" s="182"/>
      <c r="K19" s="182">
        <v>27568325</v>
      </c>
    </row>
    <row r="20" spans="1:12" ht="15">
      <c r="A20" s="87">
        <v>44918</v>
      </c>
      <c r="B20" s="94">
        <v>2027</v>
      </c>
      <c r="C20" s="88">
        <v>2000000000</v>
      </c>
      <c r="D20" s="20" t="s">
        <v>41</v>
      </c>
      <c r="E20" s="21"/>
      <c r="J20" s="182"/>
      <c r="K20" s="182">
        <v>16130869</v>
      </c>
    </row>
    <row r="21" spans="1:12" ht="15">
      <c r="A21" s="87">
        <v>44918</v>
      </c>
      <c r="B21" s="94">
        <v>2027</v>
      </c>
      <c r="C21" s="88">
        <v>2000000000</v>
      </c>
      <c r="D21" s="20" t="s">
        <v>42</v>
      </c>
      <c r="E21" s="21"/>
      <c r="J21" s="182"/>
      <c r="K21" s="182">
        <v>4358895</v>
      </c>
    </row>
    <row r="22" spans="1:12" ht="15">
      <c r="A22" s="87">
        <v>44918</v>
      </c>
      <c r="B22" s="94">
        <v>2027</v>
      </c>
      <c r="C22" s="88">
        <v>2000000000</v>
      </c>
      <c r="D22" s="20" t="s">
        <v>43</v>
      </c>
      <c r="E22" s="21"/>
      <c r="J22" s="182"/>
      <c r="K22" s="182">
        <v>45786710</v>
      </c>
    </row>
    <row r="23" spans="1:12" ht="15">
      <c r="A23" s="87">
        <v>44918</v>
      </c>
      <c r="B23" s="94">
        <v>2027</v>
      </c>
      <c r="C23" s="88">
        <v>2000000000</v>
      </c>
      <c r="D23" s="20" t="s">
        <v>44</v>
      </c>
      <c r="E23" s="21"/>
      <c r="J23" s="182"/>
      <c r="K23" s="182">
        <v>48935567</v>
      </c>
    </row>
    <row r="24" spans="1:12" ht="15">
      <c r="A24" s="87"/>
      <c r="B24" s="94"/>
      <c r="C24" s="88"/>
      <c r="D24" s="20"/>
      <c r="E24" s="21"/>
      <c r="J24" s="182">
        <v>207173258</v>
      </c>
      <c r="K24" s="182">
        <f>SUM(K19:K23)</f>
        <v>142780366</v>
      </c>
      <c r="L24" s="144">
        <f>+J24-K24</f>
        <v>64392892</v>
      </c>
    </row>
    <row r="25" spans="1:12" ht="15">
      <c r="A25" s="87"/>
      <c r="B25" s="94"/>
      <c r="C25" s="88"/>
      <c r="D25" s="20"/>
      <c r="E25" s="21"/>
    </row>
    <row r="26" spans="1:12" ht="15">
      <c r="A26" s="87"/>
      <c r="B26" s="94"/>
      <c r="C26" s="88"/>
      <c r="D26" s="20"/>
      <c r="E26" s="21"/>
    </row>
    <row r="27" spans="1:12" ht="22.5" customHeight="1">
      <c r="A27" s="85" t="s">
        <v>45</v>
      </c>
      <c r="B27" s="95" t="s">
        <v>46</v>
      </c>
      <c r="C27" s="95"/>
      <c r="D27" s="85" t="s">
        <v>47</v>
      </c>
      <c r="E27" s="96">
        <v>71740628</v>
      </c>
    </row>
    <row r="28" spans="1:12" ht="30">
      <c r="A28" s="85" t="s">
        <v>48</v>
      </c>
      <c r="B28" s="88" t="s">
        <v>49</v>
      </c>
      <c r="C28" s="88"/>
      <c r="D28" s="97" t="s">
        <v>50</v>
      </c>
      <c r="E28" s="98" t="s">
        <v>51</v>
      </c>
    </row>
    <row r="29" spans="1:12" ht="15">
      <c r="A29" s="85" t="s">
        <v>52</v>
      </c>
      <c r="B29" s="99">
        <v>10000892</v>
      </c>
      <c r="C29" s="99"/>
      <c r="D29" s="22"/>
      <c r="E29" s="98"/>
    </row>
    <row r="30" spans="1:12" ht="15">
      <c r="A30" s="85"/>
      <c r="B30" s="85" t="s">
        <v>53</v>
      </c>
      <c r="C30" s="100">
        <v>100015699</v>
      </c>
      <c r="D30" s="85" t="s">
        <v>54</v>
      </c>
      <c r="E30" s="23">
        <v>100015700</v>
      </c>
    </row>
    <row r="31" spans="1:12" ht="15">
      <c r="A31" s="85" t="s">
        <v>55</v>
      </c>
      <c r="B31" s="88" t="s">
        <v>56</v>
      </c>
      <c r="C31" s="22"/>
      <c r="D31" s="85" t="s">
        <v>57</v>
      </c>
      <c r="E31" s="93" t="s">
        <v>58</v>
      </c>
    </row>
    <row r="32" spans="1:12">
      <c r="B32" s="16"/>
      <c r="C32" s="16"/>
    </row>
    <row r="33" spans="1:6" ht="15">
      <c r="A33" s="24" t="s">
        <v>59</v>
      </c>
      <c r="B33" s="24"/>
      <c r="C33" s="24"/>
      <c r="D33" s="24"/>
    </row>
    <row r="34" spans="1:6" ht="75">
      <c r="A34" s="85" t="s">
        <v>60</v>
      </c>
      <c r="B34" s="25" t="s">
        <v>61</v>
      </c>
      <c r="C34" s="52" t="s">
        <v>62</v>
      </c>
      <c r="D34" s="52" t="s">
        <v>63</v>
      </c>
    </row>
    <row r="35" spans="1:6" ht="15">
      <c r="A35" s="101" t="s">
        <v>64</v>
      </c>
      <c r="B35" s="25">
        <f>+C35+D35</f>
        <v>27300000000</v>
      </c>
      <c r="C35" s="26">
        <v>26000000000</v>
      </c>
      <c r="D35" s="26">
        <v>1300000000</v>
      </c>
    </row>
    <row r="36" spans="1:6">
      <c r="A36" s="101" t="s">
        <v>65</v>
      </c>
      <c r="B36" s="27">
        <f>C36+D36</f>
        <v>1</v>
      </c>
      <c r="C36" s="28">
        <f>+C35/$B$35</f>
        <v>0.95238095238095233</v>
      </c>
      <c r="D36" s="28">
        <f>+D35/$B$35</f>
        <v>4.7619047619047616E-2</v>
      </c>
    </row>
    <row r="37" spans="1:6" ht="15">
      <c r="A37" s="101" t="s">
        <v>66</v>
      </c>
      <c r="B37" s="25">
        <f>+C35</f>
        <v>26000000000</v>
      </c>
      <c r="C37" s="26">
        <f>SUM(C34:C35)</f>
        <v>26000000000</v>
      </c>
      <c r="D37" s="26">
        <f>SUM(D34:D35)</f>
        <v>1300000000</v>
      </c>
    </row>
    <row r="38" spans="1:6">
      <c r="A38" s="101" t="s">
        <v>67</v>
      </c>
      <c r="B38" s="27">
        <f>C38+D38</f>
        <v>1</v>
      </c>
      <c r="C38" s="28">
        <f>+C37/B35</f>
        <v>0.95238095238095233</v>
      </c>
      <c r="D38" s="28">
        <f>+D37/$B$35</f>
        <v>4.7619047619047616E-2</v>
      </c>
    </row>
    <row r="39" spans="1:6" ht="15">
      <c r="A39" s="85" t="s">
        <v>68</v>
      </c>
      <c r="B39" s="25">
        <f>+C35+D35</f>
        <v>27300000000</v>
      </c>
      <c r="C39" s="102"/>
      <c r="D39" s="29"/>
    </row>
    <row r="40" spans="1:6">
      <c r="B40" s="16"/>
      <c r="C40" s="16"/>
      <c r="D40" s="30"/>
      <c r="E40" s="30"/>
    </row>
    <row r="41" spans="1:6" ht="15">
      <c r="A41" s="24" t="s">
        <v>69</v>
      </c>
      <c r="B41" s="24"/>
      <c r="C41" s="24"/>
      <c r="D41" s="24"/>
      <c r="E41" s="24"/>
    </row>
    <row r="42" spans="1:6" s="31" customFormat="1" ht="62.25" customHeight="1">
      <c r="A42" s="94" t="s">
        <v>70</v>
      </c>
      <c r="B42" s="103" t="s">
        <v>71</v>
      </c>
      <c r="C42" s="89" t="s">
        <v>72</v>
      </c>
      <c r="D42" s="52" t="s">
        <v>62</v>
      </c>
      <c r="E42" s="52" t="s">
        <v>63</v>
      </c>
    </row>
    <row r="43" spans="1:6">
      <c r="A43" s="104">
        <v>4300126000</v>
      </c>
      <c r="B43" s="32">
        <v>45594</v>
      </c>
      <c r="C43" s="29">
        <v>5000000000</v>
      </c>
      <c r="D43" s="29">
        <f>+C43</f>
        <v>5000000000</v>
      </c>
      <c r="E43" s="22">
        <v>0</v>
      </c>
    </row>
    <row r="44" spans="1:6">
      <c r="A44" s="104" t="s">
        <v>73</v>
      </c>
      <c r="B44" s="32">
        <v>45594</v>
      </c>
      <c r="C44" s="29">
        <v>1300000000</v>
      </c>
      <c r="D44" s="29">
        <v>0</v>
      </c>
      <c r="E44" s="29">
        <f>+C44</f>
        <v>1300000000</v>
      </c>
    </row>
    <row r="45" spans="1:6">
      <c r="A45" s="104">
        <v>4300131771</v>
      </c>
      <c r="B45" s="32">
        <v>46007</v>
      </c>
      <c r="C45" s="29">
        <v>6000000000</v>
      </c>
      <c r="D45" s="29">
        <f>+C45</f>
        <v>6000000000</v>
      </c>
      <c r="E45" s="22">
        <v>0</v>
      </c>
    </row>
    <row r="46" spans="1:6">
      <c r="A46" s="104" t="s">
        <v>74</v>
      </c>
      <c r="B46" s="32">
        <v>46020</v>
      </c>
      <c r="C46" s="29">
        <v>73101130</v>
      </c>
      <c r="D46" s="29">
        <v>0</v>
      </c>
      <c r="E46" s="29">
        <f>+C46</f>
        <v>73101130</v>
      </c>
    </row>
    <row r="47" spans="1:6">
      <c r="A47" s="104">
        <v>4300132327</v>
      </c>
      <c r="B47" s="32">
        <v>46044</v>
      </c>
      <c r="C47" s="29">
        <v>207173258</v>
      </c>
      <c r="D47" s="29">
        <f>+C47</f>
        <v>207173258</v>
      </c>
      <c r="E47" s="22">
        <v>0</v>
      </c>
      <c r="F47" s="33"/>
    </row>
    <row r="48" spans="1:6">
      <c r="A48" s="2">
        <v>4300132899</v>
      </c>
      <c r="B48" s="32">
        <v>46107</v>
      </c>
      <c r="C48" s="29">
        <v>608644587</v>
      </c>
      <c r="D48" s="29">
        <f>+C48</f>
        <v>608644587</v>
      </c>
      <c r="E48" s="22">
        <v>0</v>
      </c>
      <c r="F48" s="164"/>
    </row>
    <row r="49" spans="1:6">
      <c r="A49" s="153"/>
      <c r="B49" s="137"/>
      <c r="C49" s="29">
        <v>7000000000</v>
      </c>
      <c r="D49" s="29">
        <f>+C49</f>
        <v>7000000000</v>
      </c>
      <c r="E49" s="22"/>
      <c r="F49" s="164"/>
    </row>
    <row r="50" spans="1:6">
      <c r="A50" s="2"/>
      <c r="B50" s="32"/>
      <c r="C50" s="29"/>
      <c r="D50" s="29">
        <f>+C50</f>
        <v>0</v>
      </c>
      <c r="E50" s="22"/>
      <c r="F50" s="164"/>
    </row>
    <row r="51" spans="1:6">
      <c r="A51" s="2"/>
      <c r="B51" s="32"/>
      <c r="C51" s="29"/>
      <c r="D51" s="29"/>
      <c r="E51" s="22"/>
      <c r="F51" s="164"/>
    </row>
    <row r="52" spans="1:6">
      <c r="A52" s="22"/>
      <c r="B52" s="22"/>
      <c r="C52" s="22"/>
      <c r="D52" s="22"/>
      <c r="E52" s="22">
        <v>0</v>
      </c>
      <c r="F52" s="33"/>
    </row>
    <row r="53" spans="1:6">
      <c r="A53" s="22"/>
      <c r="B53" s="22"/>
      <c r="C53" s="22"/>
      <c r="D53" s="22"/>
      <c r="E53" s="22">
        <v>0</v>
      </c>
      <c r="F53" s="33"/>
    </row>
    <row r="54" spans="1:6">
      <c r="A54" s="2"/>
      <c r="B54" s="32"/>
      <c r="C54" s="29"/>
      <c r="D54" s="29">
        <f>+C54</f>
        <v>0</v>
      </c>
      <c r="E54" s="22">
        <v>0</v>
      </c>
    </row>
    <row r="55" spans="1:6" ht="15">
      <c r="A55" s="4" t="s">
        <v>15</v>
      </c>
      <c r="B55" s="34"/>
      <c r="C55" s="102">
        <f>SUM(C43:C54)</f>
        <v>20188918975</v>
      </c>
      <c r="D55" s="102">
        <f>SUM(D43:D54)</f>
        <v>18815817845</v>
      </c>
      <c r="E55" s="102">
        <f>SUM(E43:E54)</f>
        <v>1373101130</v>
      </c>
    </row>
    <row r="56" spans="1:6">
      <c r="A56" s="105"/>
      <c r="B56" s="16"/>
      <c r="C56" s="16"/>
      <c r="D56" s="106"/>
      <c r="E56" s="106"/>
    </row>
    <row r="57" spans="1:6">
      <c r="B57" s="16"/>
      <c r="C57" s="16"/>
      <c r="D57" s="30"/>
      <c r="E57" s="30"/>
    </row>
    <row r="58" spans="1:6" ht="15">
      <c r="A58" s="24" t="s">
        <v>75</v>
      </c>
      <c r="B58" s="24"/>
      <c r="C58" s="24"/>
      <c r="D58" s="24"/>
      <c r="E58" s="24"/>
    </row>
    <row r="59" spans="1:6" s="31" customFormat="1" ht="60">
      <c r="A59" s="94" t="s">
        <v>1</v>
      </c>
      <c r="B59" s="4" t="s">
        <v>76</v>
      </c>
      <c r="C59" s="4"/>
      <c r="D59" s="89" t="s">
        <v>72</v>
      </c>
      <c r="E59" s="52" t="s">
        <v>62</v>
      </c>
    </row>
    <row r="60" spans="1:6" ht="15">
      <c r="A60" s="2">
        <v>100015699</v>
      </c>
      <c r="B60" s="139">
        <v>45594</v>
      </c>
      <c r="C60" s="139">
        <v>45596</v>
      </c>
      <c r="D60" s="107">
        <v>487902</v>
      </c>
      <c r="E60" s="35">
        <f t="shared" ref="E60:E113" si="0">D60</f>
        <v>487902</v>
      </c>
    </row>
    <row r="61" spans="1:6" ht="15">
      <c r="A61" s="2">
        <v>100015699</v>
      </c>
      <c r="B61" s="139">
        <v>45597</v>
      </c>
      <c r="C61" s="139">
        <v>45626</v>
      </c>
      <c r="D61" s="36">
        <v>7277516</v>
      </c>
      <c r="E61" s="35">
        <f t="shared" si="0"/>
        <v>7277516</v>
      </c>
    </row>
    <row r="62" spans="1:6" ht="15">
      <c r="A62" s="2">
        <v>100015700</v>
      </c>
      <c r="B62" s="139">
        <v>45597</v>
      </c>
      <c r="C62" s="139">
        <v>45626</v>
      </c>
      <c r="D62" s="36">
        <v>5486</v>
      </c>
      <c r="E62" s="35">
        <f t="shared" si="0"/>
        <v>5486</v>
      </c>
    </row>
    <row r="63" spans="1:6" ht="15">
      <c r="A63" s="2">
        <v>100015699</v>
      </c>
      <c r="B63" s="139">
        <v>45627</v>
      </c>
      <c r="C63" s="139">
        <v>45657</v>
      </c>
      <c r="D63" s="37">
        <v>7417358</v>
      </c>
      <c r="E63" s="35">
        <f t="shared" si="0"/>
        <v>7417358</v>
      </c>
    </row>
    <row r="64" spans="1:6" ht="15">
      <c r="A64" s="2">
        <v>100015700</v>
      </c>
      <c r="B64" s="139">
        <v>45627</v>
      </c>
      <c r="C64" s="139">
        <v>45657</v>
      </c>
      <c r="D64" s="36">
        <v>16571</v>
      </c>
      <c r="E64" s="35">
        <f t="shared" si="0"/>
        <v>16571</v>
      </c>
    </row>
    <row r="65" spans="1:5" ht="15">
      <c r="A65" s="2">
        <v>100015699</v>
      </c>
      <c r="B65" s="139">
        <v>45658</v>
      </c>
      <c r="C65" s="139">
        <v>45688</v>
      </c>
      <c r="D65" s="36">
        <v>7422793</v>
      </c>
      <c r="E65" s="35">
        <f t="shared" si="0"/>
        <v>7422793</v>
      </c>
    </row>
    <row r="66" spans="1:5" ht="15">
      <c r="A66" s="2">
        <v>100015700</v>
      </c>
      <c r="B66" s="139">
        <v>45658</v>
      </c>
      <c r="C66" s="139">
        <v>45688</v>
      </c>
      <c r="D66" s="37">
        <v>27625</v>
      </c>
      <c r="E66" s="35">
        <f t="shared" si="0"/>
        <v>27625</v>
      </c>
    </row>
    <row r="67" spans="1:5" ht="15">
      <c r="A67" s="2">
        <v>100015699</v>
      </c>
      <c r="B67" s="139">
        <v>45689</v>
      </c>
      <c r="C67" s="139">
        <v>45716</v>
      </c>
      <c r="D67" s="36">
        <v>6722333</v>
      </c>
      <c r="E67" s="35">
        <f t="shared" si="0"/>
        <v>6722333</v>
      </c>
    </row>
    <row r="68" spans="1:5" ht="15">
      <c r="A68" s="2">
        <v>100015700</v>
      </c>
      <c r="B68" s="139">
        <v>45689</v>
      </c>
      <c r="C68" s="139">
        <v>45716</v>
      </c>
      <c r="D68" s="36">
        <v>34605</v>
      </c>
      <c r="E68" s="35">
        <f t="shared" si="0"/>
        <v>34605</v>
      </c>
    </row>
    <row r="69" spans="1:5" ht="15">
      <c r="A69" s="2">
        <v>100015699</v>
      </c>
      <c r="B69" s="139">
        <v>45717</v>
      </c>
      <c r="C69" s="139">
        <v>45747</v>
      </c>
      <c r="D69" s="36">
        <v>7460534</v>
      </c>
      <c r="E69" s="35">
        <f t="shared" si="0"/>
        <v>7460534</v>
      </c>
    </row>
    <row r="70" spans="1:5" ht="15">
      <c r="A70" s="2">
        <v>100015700</v>
      </c>
      <c r="B70" s="139">
        <v>45717</v>
      </c>
      <c r="C70" s="139">
        <v>45747</v>
      </c>
      <c r="D70" s="36">
        <v>48968</v>
      </c>
      <c r="E70" s="35">
        <f t="shared" si="0"/>
        <v>48968</v>
      </c>
    </row>
    <row r="71" spans="1:5" ht="15">
      <c r="A71" s="2">
        <v>100015699</v>
      </c>
      <c r="B71" s="139">
        <v>45748</v>
      </c>
      <c r="C71" s="139" t="s">
        <v>12</v>
      </c>
      <c r="D71" s="37">
        <v>7156542</v>
      </c>
      <c r="E71" s="35">
        <f t="shared" si="0"/>
        <v>7156542</v>
      </c>
    </row>
    <row r="72" spans="1:5" ht="15">
      <c r="A72" s="2">
        <v>100015700</v>
      </c>
      <c r="B72" s="139">
        <v>45748</v>
      </c>
      <c r="C72" s="139" t="s">
        <v>12</v>
      </c>
      <c r="D72" s="37">
        <v>57503</v>
      </c>
      <c r="E72" s="35">
        <f t="shared" si="0"/>
        <v>57503</v>
      </c>
    </row>
    <row r="73" spans="1:5" ht="15">
      <c r="A73" s="2">
        <v>100015699</v>
      </c>
      <c r="B73" s="139">
        <v>45778</v>
      </c>
      <c r="C73" s="139">
        <v>45808</v>
      </c>
      <c r="D73" s="37">
        <v>7274207</v>
      </c>
      <c r="E73" s="35">
        <f t="shared" si="0"/>
        <v>7274207</v>
      </c>
    </row>
    <row r="74" spans="1:5" ht="15">
      <c r="A74" s="2">
        <v>100015700</v>
      </c>
      <c r="B74" s="139">
        <v>45778</v>
      </c>
      <c r="C74" s="139">
        <v>45808</v>
      </c>
      <c r="D74" s="36">
        <v>62943</v>
      </c>
      <c r="E74" s="35">
        <f t="shared" si="0"/>
        <v>62943</v>
      </c>
    </row>
    <row r="75" spans="1:5" ht="15">
      <c r="A75" s="2">
        <v>100015699</v>
      </c>
      <c r="B75" s="139">
        <v>45809</v>
      </c>
      <c r="C75" s="139">
        <v>45838</v>
      </c>
      <c r="D75" s="36">
        <v>6955975</v>
      </c>
      <c r="E75" s="35">
        <f t="shared" si="0"/>
        <v>6955975</v>
      </c>
    </row>
    <row r="76" spans="1:5" ht="15">
      <c r="A76" s="2">
        <v>100015700</v>
      </c>
      <c r="B76" s="139">
        <v>45809</v>
      </c>
      <c r="C76" s="139">
        <v>45838</v>
      </c>
      <c r="D76" s="36">
        <v>7390</v>
      </c>
      <c r="E76" s="35">
        <f t="shared" si="0"/>
        <v>7390</v>
      </c>
    </row>
    <row r="77" spans="1:5" ht="15">
      <c r="A77" s="2">
        <v>100015699</v>
      </c>
      <c r="B77" s="139">
        <v>45839</v>
      </c>
      <c r="C77" s="139">
        <v>45869</v>
      </c>
      <c r="D77" s="36">
        <v>7212374</v>
      </c>
      <c r="E77" s="35">
        <f t="shared" si="0"/>
        <v>7212374</v>
      </c>
    </row>
    <row r="78" spans="1:5" ht="15">
      <c r="A78" s="2">
        <v>100015700</v>
      </c>
      <c r="B78" s="139">
        <v>45839</v>
      </c>
      <c r="C78" s="139">
        <v>45869</v>
      </c>
      <c r="D78" s="36">
        <v>11633</v>
      </c>
      <c r="E78" s="35">
        <f t="shared" si="0"/>
        <v>11633</v>
      </c>
    </row>
    <row r="79" spans="1:5" ht="15">
      <c r="A79" s="2">
        <v>100015699</v>
      </c>
      <c r="B79" s="139">
        <v>45870</v>
      </c>
      <c r="C79" s="139">
        <v>45900</v>
      </c>
      <c r="D79" s="60">
        <v>6016060</v>
      </c>
      <c r="E79" s="35">
        <f t="shared" si="0"/>
        <v>6016060</v>
      </c>
    </row>
    <row r="80" spans="1:5" ht="15">
      <c r="A80" s="2">
        <v>100015700</v>
      </c>
      <c r="B80" s="139">
        <v>45870</v>
      </c>
      <c r="C80" s="139">
        <v>45900</v>
      </c>
      <c r="D80" s="60">
        <v>9042</v>
      </c>
      <c r="E80" s="35">
        <f t="shared" si="0"/>
        <v>9042</v>
      </c>
    </row>
    <row r="81" spans="1:6" ht="15">
      <c r="A81" s="2">
        <v>100015699</v>
      </c>
      <c r="B81" s="139">
        <v>45901</v>
      </c>
      <c r="C81" s="139">
        <v>45930</v>
      </c>
      <c r="D81" s="60">
        <v>3507390</v>
      </c>
      <c r="E81" s="35">
        <f t="shared" si="0"/>
        <v>3507390</v>
      </c>
    </row>
    <row r="82" spans="1:6" ht="15">
      <c r="A82" s="2">
        <v>100015700</v>
      </c>
      <c r="B82" s="139">
        <v>45901</v>
      </c>
      <c r="C82" s="139">
        <v>45930</v>
      </c>
      <c r="D82" s="60">
        <v>7347</v>
      </c>
      <c r="E82" s="35">
        <f t="shared" si="0"/>
        <v>7347</v>
      </c>
    </row>
    <row r="83" spans="1:6" ht="15">
      <c r="A83" s="2">
        <v>100015699</v>
      </c>
      <c r="B83" s="139">
        <v>45931</v>
      </c>
      <c r="C83" s="139">
        <v>45961</v>
      </c>
      <c r="D83" s="60">
        <v>2120535</v>
      </c>
      <c r="E83" s="35">
        <f t="shared" si="0"/>
        <v>2120535</v>
      </c>
    </row>
    <row r="84" spans="1:6" ht="15">
      <c r="A84" s="2">
        <v>100015700</v>
      </c>
      <c r="B84" s="139">
        <v>45931</v>
      </c>
      <c r="C84" s="139">
        <v>45961</v>
      </c>
      <c r="D84" s="60">
        <v>2412</v>
      </c>
      <c r="E84" s="35">
        <f t="shared" si="0"/>
        <v>2412</v>
      </c>
    </row>
    <row r="85" spans="1:6" ht="15">
      <c r="A85" s="2">
        <v>100015699</v>
      </c>
      <c r="B85" s="139">
        <v>45962</v>
      </c>
      <c r="C85" s="139">
        <v>45991</v>
      </c>
      <c r="D85" s="60">
        <v>637896</v>
      </c>
      <c r="E85" s="35">
        <f t="shared" si="0"/>
        <v>637896</v>
      </c>
    </row>
    <row r="86" spans="1:6" ht="15">
      <c r="A86" s="2">
        <v>100015700</v>
      </c>
      <c r="B86" s="139">
        <v>45962</v>
      </c>
      <c r="C86" s="139">
        <v>45991</v>
      </c>
      <c r="D86" s="60">
        <v>2080</v>
      </c>
      <c r="E86" s="35">
        <f t="shared" si="0"/>
        <v>2080</v>
      </c>
    </row>
    <row r="87" spans="1:6" ht="15">
      <c r="A87" s="2">
        <v>100015699</v>
      </c>
      <c r="B87" s="139">
        <v>45992</v>
      </c>
      <c r="C87" s="139">
        <v>46022</v>
      </c>
      <c r="D87" s="60">
        <v>76195</v>
      </c>
      <c r="E87" s="35">
        <f t="shared" si="0"/>
        <v>76195</v>
      </c>
    </row>
    <row r="88" spans="1:6" ht="15">
      <c r="A88" s="2">
        <v>100015700</v>
      </c>
      <c r="B88" s="139">
        <v>45992</v>
      </c>
      <c r="C88" s="139">
        <v>46022</v>
      </c>
      <c r="D88" s="60">
        <v>2921</v>
      </c>
      <c r="E88" s="35">
        <f t="shared" si="0"/>
        <v>2921</v>
      </c>
    </row>
    <row r="89" spans="1:6" ht="15">
      <c r="A89" s="2">
        <v>100015716</v>
      </c>
      <c r="B89" s="139">
        <v>45992</v>
      </c>
      <c r="C89" s="139">
        <v>46022</v>
      </c>
      <c r="D89" s="60">
        <v>4637940</v>
      </c>
      <c r="E89" s="35">
        <f t="shared" si="0"/>
        <v>4637940</v>
      </c>
    </row>
    <row r="90" spans="1:6" ht="15">
      <c r="A90" s="2">
        <v>100015699</v>
      </c>
      <c r="B90" s="139">
        <v>46023</v>
      </c>
      <c r="C90" s="139">
        <v>46053</v>
      </c>
      <c r="D90" s="60">
        <v>87263</v>
      </c>
      <c r="E90" s="35">
        <f t="shared" si="0"/>
        <v>87263</v>
      </c>
    </row>
    <row r="91" spans="1:6" ht="15">
      <c r="A91" s="2">
        <v>100015700</v>
      </c>
      <c r="B91" s="139">
        <v>46023</v>
      </c>
      <c r="C91" s="139">
        <v>46053</v>
      </c>
      <c r="D91" s="60">
        <v>11064</v>
      </c>
      <c r="E91" s="35">
        <f t="shared" si="0"/>
        <v>11064</v>
      </c>
    </row>
    <row r="92" spans="1:6" ht="15">
      <c r="A92" s="2">
        <v>100015716</v>
      </c>
      <c r="B92" s="139">
        <v>46023</v>
      </c>
      <c r="C92" s="139">
        <v>46053</v>
      </c>
      <c r="D92" s="60">
        <v>6287436</v>
      </c>
      <c r="E92" s="35">
        <f t="shared" si="0"/>
        <v>6287436</v>
      </c>
    </row>
    <row r="93" spans="1:6" ht="15">
      <c r="A93" s="2">
        <v>100015699</v>
      </c>
      <c r="B93" s="139">
        <v>46054</v>
      </c>
      <c r="C93" s="139">
        <v>46081</v>
      </c>
      <c r="D93" s="36">
        <v>281635</v>
      </c>
      <c r="E93" s="35">
        <f t="shared" si="0"/>
        <v>281635</v>
      </c>
    </row>
    <row r="94" spans="1:6" ht="15">
      <c r="A94" s="2">
        <v>100015700</v>
      </c>
      <c r="B94" s="139">
        <v>46054</v>
      </c>
      <c r="C94" s="139">
        <v>46081</v>
      </c>
      <c r="D94" s="36">
        <v>5510</v>
      </c>
      <c r="E94" s="35">
        <f t="shared" si="0"/>
        <v>5510</v>
      </c>
    </row>
    <row r="95" spans="1:6" ht="15">
      <c r="A95" s="2">
        <v>100015716</v>
      </c>
      <c r="B95" s="139">
        <v>46054</v>
      </c>
      <c r="C95" s="139">
        <v>46081</v>
      </c>
      <c r="D95" s="36">
        <v>3474615</v>
      </c>
      <c r="E95" s="35">
        <f t="shared" si="0"/>
        <v>3474615</v>
      </c>
      <c r="F95" s="144"/>
    </row>
    <row r="96" spans="1:6" ht="15">
      <c r="A96" s="2">
        <v>100015699</v>
      </c>
      <c r="B96" s="139">
        <v>46082</v>
      </c>
      <c r="C96" s="139">
        <v>46112</v>
      </c>
      <c r="D96" s="60">
        <v>325976</v>
      </c>
      <c r="E96" s="35">
        <f t="shared" si="0"/>
        <v>325976</v>
      </c>
    </row>
    <row r="97" spans="1:6" ht="15">
      <c r="A97" s="2">
        <v>100015700</v>
      </c>
      <c r="B97" s="139">
        <v>46082</v>
      </c>
      <c r="C97" s="139">
        <v>46112</v>
      </c>
      <c r="D97" s="60">
        <v>3875</v>
      </c>
      <c r="E97" s="35">
        <f t="shared" si="0"/>
        <v>3875</v>
      </c>
      <c r="F97" s="144"/>
    </row>
    <row r="98" spans="1:6" ht="15">
      <c r="A98" s="2">
        <v>100015716</v>
      </c>
      <c r="B98" s="139">
        <v>46082</v>
      </c>
      <c r="C98" s="139">
        <v>46112</v>
      </c>
      <c r="D98" s="60">
        <v>2073939</v>
      </c>
      <c r="E98" s="35">
        <f t="shared" si="0"/>
        <v>2073939</v>
      </c>
      <c r="F98" s="144"/>
    </row>
    <row r="99" spans="1:6" ht="15">
      <c r="A99" s="2">
        <v>100015699</v>
      </c>
      <c r="B99" s="139">
        <v>46113</v>
      </c>
      <c r="C99" s="139">
        <v>46142</v>
      </c>
      <c r="D99" s="60">
        <v>911875</v>
      </c>
      <c r="E99" s="35">
        <f t="shared" si="0"/>
        <v>911875</v>
      </c>
    </row>
    <row r="100" spans="1:6" ht="15">
      <c r="A100" s="2">
        <v>100015700</v>
      </c>
      <c r="B100" s="139">
        <v>46113</v>
      </c>
      <c r="C100" s="139">
        <v>46142</v>
      </c>
      <c r="D100" s="60">
        <v>2658</v>
      </c>
      <c r="E100" s="35">
        <f t="shared" si="0"/>
        <v>2658</v>
      </c>
    </row>
    <row r="101" spans="1:6" ht="15">
      <c r="A101" s="2">
        <v>100015716</v>
      </c>
      <c r="B101" s="139">
        <v>46113</v>
      </c>
      <c r="C101" s="139">
        <v>46142</v>
      </c>
      <c r="D101" s="60">
        <v>1430388</v>
      </c>
      <c r="E101" s="35">
        <f t="shared" si="0"/>
        <v>1430388</v>
      </c>
      <c r="F101" s="144"/>
    </row>
    <row r="102" spans="1:6" ht="15">
      <c r="A102" s="2">
        <v>100015699</v>
      </c>
      <c r="B102" s="139">
        <v>46143</v>
      </c>
      <c r="C102" s="139">
        <v>46173</v>
      </c>
      <c r="D102" s="60">
        <v>290189</v>
      </c>
      <c r="E102" s="35">
        <f t="shared" si="0"/>
        <v>290189</v>
      </c>
    </row>
    <row r="103" spans="1:6" ht="15">
      <c r="A103" s="2">
        <v>100015700</v>
      </c>
      <c r="B103" s="139">
        <v>46143</v>
      </c>
      <c r="C103" s="139">
        <v>46173</v>
      </c>
      <c r="D103" s="60">
        <v>4556</v>
      </c>
      <c r="E103" s="35">
        <f t="shared" si="0"/>
        <v>4556</v>
      </c>
    </row>
    <row r="104" spans="1:6" ht="15">
      <c r="A104" s="2">
        <v>100015716</v>
      </c>
      <c r="B104" s="139">
        <v>46143</v>
      </c>
      <c r="C104" s="139">
        <v>46173</v>
      </c>
      <c r="D104" s="60">
        <v>754773</v>
      </c>
      <c r="E104" s="35">
        <f t="shared" si="0"/>
        <v>754773</v>
      </c>
      <c r="F104" s="144"/>
    </row>
    <row r="105" spans="1:6" ht="15">
      <c r="A105" s="2">
        <v>100015699</v>
      </c>
      <c r="B105" s="139">
        <v>46174</v>
      </c>
      <c r="C105" s="139" t="s">
        <v>209</v>
      </c>
      <c r="D105" s="60">
        <v>249769</v>
      </c>
      <c r="E105" s="35">
        <f t="shared" si="0"/>
        <v>249769</v>
      </c>
      <c r="F105" s="144"/>
    </row>
    <row r="106" spans="1:6" ht="15">
      <c r="A106" s="2">
        <v>100015700</v>
      </c>
      <c r="B106" s="139">
        <v>46174</v>
      </c>
      <c r="C106" s="139" t="s">
        <v>209</v>
      </c>
      <c r="D106" s="60">
        <v>4232</v>
      </c>
      <c r="E106" s="35">
        <f t="shared" si="0"/>
        <v>4232</v>
      </c>
      <c r="F106" s="144"/>
    </row>
    <row r="107" spans="1:6" ht="15">
      <c r="A107" s="2">
        <v>100015716</v>
      </c>
      <c r="B107" s="139">
        <v>46174</v>
      </c>
      <c r="C107" s="139" t="s">
        <v>209</v>
      </c>
      <c r="D107" s="60">
        <v>726486</v>
      </c>
      <c r="E107" s="35">
        <f t="shared" si="0"/>
        <v>726486</v>
      </c>
      <c r="F107" s="144"/>
    </row>
    <row r="108" spans="1:6" ht="15">
      <c r="A108" s="2">
        <v>100015699</v>
      </c>
      <c r="B108" s="139">
        <v>46204</v>
      </c>
      <c r="C108" s="139">
        <v>46234</v>
      </c>
      <c r="D108" s="60">
        <v>87567</v>
      </c>
      <c r="E108" s="35">
        <f t="shared" si="0"/>
        <v>87567</v>
      </c>
      <c r="F108" s="144"/>
    </row>
    <row r="109" spans="1:6" ht="15">
      <c r="A109" s="2">
        <v>100015700</v>
      </c>
      <c r="B109" s="139">
        <v>46204</v>
      </c>
      <c r="C109" s="139">
        <v>46234</v>
      </c>
      <c r="D109" s="60">
        <v>1334</v>
      </c>
      <c r="E109" s="35">
        <f t="shared" si="0"/>
        <v>1334</v>
      </c>
      <c r="F109" s="144"/>
    </row>
    <row r="110" spans="1:6" ht="15">
      <c r="A110" s="2">
        <v>100015716</v>
      </c>
      <c r="B110" s="139">
        <v>46204</v>
      </c>
      <c r="C110" s="139">
        <v>46234</v>
      </c>
      <c r="D110" s="60">
        <v>754686</v>
      </c>
      <c r="E110" s="35">
        <f t="shared" si="0"/>
        <v>754686</v>
      </c>
      <c r="F110" s="144"/>
    </row>
    <row r="111" spans="1:6" ht="15" hidden="1">
      <c r="A111" s="153"/>
      <c r="B111" s="156"/>
      <c r="C111" s="156"/>
      <c r="D111" s="157"/>
      <c r="E111" s="35">
        <f t="shared" si="0"/>
        <v>0</v>
      </c>
    </row>
    <row r="112" spans="1:6" ht="15" hidden="1">
      <c r="A112" s="153"/>
      <c r="B112" s="156"/>
      <c r="C112" s="156"/>
      <c r="D112" s="157"/>
      <c r="E112" s="35">
        <f t="shared" si="0"/>
        <v>0</v>
      </c>
    </row>
    <row r="113" spans="1:8" ht="15" hidden="1">
      <c r="A113" s="153"/>
      <c r="B113" s="156"/>
      <c r="C113" s="156"/>
      <c r="D113" s="157"/>
      <c r="E113" s="35">
        <f t="shared" si="0"/>
        <v>0</v>
      </c>
    </row>
    <row r="114" spans="1:8" ht="15">
      <c r="A114" s="108" t="s">
        <v>15</v>
      </c>
      <c r="B114" s="108"/>
      <c r="C114" s="108"/>
      <c r="D114" s="46">
        <f>SUM(D60:D113)</f>
        <v>100449902</v>
      </c>
      <c r="E114" s="109">
        <f>SUM(E60:E113)</f>
        <v>100449902</v>
      </c>
    </row>
    <row r="115" spans="1:8" s="49" customFormat="1" ht="12">
      <c r="A115" s="47"/>
      <c r="B115" s="47"/>
      <c r="C115" s="47"/>
      <c r="D115" s="48"/>
    </row>
    <row r="116" spans="1:8" ht="15">
      <c r="A116" s="200" t="s">
        <v>77</v>
      </c>
      <c r="B116" s="201"/>
      <c r="C116" s="18" t="s">
        <v>78</v>
      </c>
      <c r="D116" s="110"/>
      <c r="E116" s="109">
        <f>SUMIF(A60:A113,100015699,E60:E113)</f>
        <v>79979884</v>
      </c>
      <c r="H116" s="69"/>
    </row>
    <row r="117" spans="1:8" ht="15">
      <c r="A117" s="202"/>
      <c r="B117" s="203"/>
      <c r="C117" s="18" t="s">
        <v>79</v>
      </c>
      <c r="D117" s="110"/>
      <c r="E117" s="109">
        <f>SUMIF(A60:A113,100015700,E60:E113)</f>
        <v>329755</v>
      </c>
      <c r="H117" s="69"/>
    </row>
    <row r="118" spans="1:8" ht="15">
      <c r="A118" s="204"/>
      <c r="B118" s="205"/>
      <c r="C118" s="18" t="s">
        <v>80</v>
      </c>
      <c r="D118" s="110"/>
      <c r="E118" s="109">
        <f>SUMIF(A61:A113,100015716,E61:E113)</f>
        <v>20140263</v>
      </c>
      <c r="H118" s="69"/>
    </row>
    <row r="119" spans="1:8" s="49" customFormat="1" ht="15">
      <c r="A119" s="50"/>
      <c r="D119" s="51"/>
      <c r="E119" s="51"/>
      <c r="H119" s="69"/>
    </row>
    <row r="120" spans="1:8" ht="15">
      <c r="A120" s="24" t="s">
        <v>81</v>
      </c>
      <c r="B120" s="24"/>
      <c r="C120" s="24"/>
      <c r="D120" s="24"/>
      <c r="E120" s="24"/>
    </row>
    <row r="121" spans="1:8" s="31" customFormat="1" ht="60">
      <c r="A121" s="94" t="s">
        <v>82</v>
      </c>
      <c r="B121" s="94" t="s">
        <v>83</v>
      </c>
      <c r="C121" s="94" t="s">
        <v>2</v>
      </c>
      <c r="D121" s="89" t="s">
        <v>72</v>
      </c>
      <c r="E121" s="52" t="s">
        <v>62</v>
      </c>
    </row>
    <row r="122" spans="1:8" ht="15">
      <c r="A122" s="53" t="s">
        <v>84</v>
      </c>
      <c r="B122" s="100">
        <v>1000229137</v>
      </c>
      <c r="C122" s="111">
        <v>45807</v>
      </c>
      <c r="D122" s="46">
        <v>44135736</v>
      </c>
      <c r="E122" s="35">
        <f>D122</f>
        <v>44135736</v>
      </c>
    </row>
    <row r="123" spans="1:8" ht="15">
      <c r="A123" s="53" t="s">
        <v>85</v>
      </c>
      <c r="B123" s="100">
        <v>1000229324</v>
      </c>
      <c r="C123" s="111">
        <v>45820</v>
      </c>
      <c r="D123" s="46">
        <v>7337150</v>
      </c>
      <c r="E123" s="35">
        <f t="shared" ref="E123:E130" si="1">D123</f>
        <v>7337150</v>
      </c>
    </row>
    <row r="124" spans="1:8" ht="15">
      <c r="A124" s="53" t="s">
        <v>86</v>
      </c>
      <c r="B124" s="100">
        <v>1000230117</v>
      </c>
      <c r="C124" s="111">
        <v>45861</v>
      </c>
      <c r="D124" s="46">
        <v>6963365</v>
      </c>
      <c r="E124" s="35">
        <f t="shared" si="1"/>
        <v>6963365</v>
      </c>
    </row>
    <row r="125" spans="1:8" ht="15">
      <c r="A125" s="53" t="s">
        <v>87</v>
      </c>
      <c r="B125" s="100">
        <v>1000232704</v>
      </c>
      <c r="C125" s="111">
        <v>45884</v>
      </c>
      <c r="D125" s="61">
        <v>7224007</v>
      </c>
      <c r="E125" s="35">
        <f t="shared" si="1"/>
        <v>7224007</v>
      </c>
    </row>
    <row r="126" spans="1:8" ht="15">
      <c r="A126" s="53" t="s">
        <v>88</v>
      </c>
      <c r="B126" s="100">
        <v>1000234286</v>
      </c>
      <c r="C126" s="111">
        <v>45922</v>
      </c>
      <c r="D126" s="61">
        <v>6025102</v>
      </c>
      <c r="E126" s="35">
        <f t="shared" si="1"/>
        <v>6025102</v>
      </c>
    </row>
    <row r="127" spans="1:8" ht="15">
      <c r="A127" s="53" t="s">
        <v>89</v>
      </c>
      <c r="B127" s="100">
        <v>1000234743</v>
      </c>
      <c r="C127" s="111">
        <v>45937</v>
      </c>
      <c r="D127" s="61">
        <v>3514737</v>
      </c>
      <c r="E127" s="35">
        <f t="shared" si="1"/>
        <v>3514737</v>
      </c>
      <c r="H127" s="94"/>
    </row>
    <row r="128" spans="1:8" ht="15">
      <c r="A128" s="53" t="s">
        <v>90</v>
      </c>
      <c r="B128" s="100">
        <v>1000236760</v>
      </c>
      <c r="C128" s="111">
        <v>45979</v>
      </c>
      <c r="D128" s="61">
        <v>2122947</v>
      </c>
      <c r="E128" s="35">
        <f t="shared" si="1"/>
        <v>2122947</v>
      </c>
    </row>
    <row r="129" spans="1:6" ht="15">
      <c r="A129" s="53" t="s">
        <v>91</v>
      </c>
      <c r="B129" s="100">
        <v>1000237544</v>
      </c>
      <c r="C129" s="111">
        <v>46030</v>
      </c>
      <c r="D129" s="61">
        <v>639976</v>
      </c>
      <c r="E129" s="35">
        <f t="shared" si="1"/>
        <v>639976</v>
      </c>
    </row>
    <row r="130" spans="1:6" ht="15">
      <c r="A130" s="53" t="s">
        <v>92</v>
      </c>
      <c r="B130" s="100">
        <v>1000237807</v>
      </c>
      <c r="C130" s="111">
        <v>46052</v>
      </c>
      <c r="D130" s="61">
        <v>4717056</v>
      </c>
      <c r="E130" s="35">
        <f t="shared" si="1"/>
        <v>4717056</v>
      </c>
    </row>
    <row r="131" spans="1:6" ht="15">
      <c r="A131" s="53" t="s">
        <v>93</v>
      </c>
      <c r="B131" s="100">
        <v>1000237960</v>
      </c>
      <c r="C131" s="112">
        <v>46065</v>
      </c>
      <c r="D131" s="61">
        <v>6385763</v>
      </c>
      <c r="E131" s="35">
        <f t="shared" ref="E131:E139" si="2">D131</f>
        <v>6385763</v>
      </c>
    </row>
    <row r="132" spans="1:6" ht="15">
      <c r="A132" s="53" t="s">
        <v>94</v>
      </c>
      <c r="B132" s="100">
        <v>1000240350</v>
      </c>
      <c r="C132" s="112">
        <v>46093</v>
      </c>
      <c r="D132" s="61">
        <v>3761760</v>
      </c>
      <c r="E132" s="35">
        <f t="shared" si="2"/>
        <v>3761760</v>
      </c>
    </row>
    <row r="133" spans="1:6" ht="15">
      <c r="A133" s="53" t="s">
        <v>95</v>
      </c>
      <c r="B133" s="100">
        <v>1000241733</v>
      </c>
      <c r="C133" s="112">
        <v>46121</v>
      </c>
      <c r="D133" s="61">
        <v>2403790</v>
      </c>
      <c r="E133" s="35">
        <f t="shared" si="2"/>
        <v>2403790</v>
      </c>
    </row>
    <row r="134" spans="1:6" ht="15">
      <c r="A134" s="53" t="s">
        <v>206</v>
      </c>
      <c r="B134" s="100">
        <v>1000244065</v>
      </c>
      <c r="C134" s="112">
        <v>46190</v>
      </c>
      <c r="D134" s="61">
        <v>2344921</v>
      </c>
      <c r="E134" s="35">
        <f t="shared" si="2"/>
        <v>2344921</v>
      </c>
    </row>
    <row r="135" spans="1:6" ht="15">
      <c r="A135" s="53" t="s">
        <v>207</v>
      </c>
      <c r="B135" s="100">
        <v>1000244316</v>
      </c>
      <c r="C135" s="112">
        <v>46203</v>
      </c>
      <c r="D135" s="61">
        <v>1049518</v>
      </c>
      <c r="E135" s="35">
        <f t="shared" si="2"/>
        <v>1049518</v>
      </c>
    </row>
    <row r="136" spans="1:6" ht="15">
      <c r="A136" s="53" t="s">
        <v>208</v>
      </c>
      <c r="B136" s="100">
        <v>1000244496</v>
      </c>
      <c r="C136" s="112">
        <v>46218</v>
      </c>
      <c r="D136" s="61">
        <v>980487</v>
      </c>
      <c r="E136" s="35">
        <f t="shared" si="2"/>
        <v>980487</v>
      </c>
    </row>
    <row r="137" spans="1:6" ht="15" hidden="1">
      <c r="A137" s="53"/>
      <c r="B137" s="100"/>
      <c r="C137" s="112"/>
      <c r="D137" s="61"/>
      <c r="E137" s="35">
        <f t="shared" si="2"/>
        <v>0</v>
      </c>
    </row>
    <row r="138" spans="1:6" ht="15" hidden="1">
      <c r="A138" s="53"/>
      <c r="B138" s="100"/>
      <c r="C138" s="112"/>
      <c r="D138" s="61"/>
      <c r="E138" s="35">
        <f t="shared" si="2"/>
        <v>0</v>
      </c>
      <c r="F138" s="144"/>
    </row>
    <row r="139" spans="1:6" ht="15" hidden="1">
      <c r="A139" s="53"/>
      <c r="B139" s="100"/>
      <c r="C139" s="112"/>
      <c r="D139" s="61"/>
      <c r="E139" s="35">
        <f t="shared" si="2"/>
        <v>0</v>
      </c>
    </row>
    <row r="140" spans="1:6" ht="15">
      <c r="A140" s="113" t="s">
        <v>15</v>
      </c>
      <c r="B140" s="38"/>
      <c r="C140" s="38"/>
      <c r="D140" s="46">
        <f>SUM(D122:D139)</f>
        <v>99606315</v>
      </c>
      <c r="E140" s="46">
        <f>SUM(E122:E139)</f>
        <v>99606315</v>
      </c>
      <c r="F140" s="144"/>
    </row>
    <row r="141" spans="1:6">
      <c r="A141" s="105"/>
      <c r="B141" s="16"/>
      <c r="C141" s="16"/>
      <c r="D141" s="106"/>
      <c r="E141" s="106"/>
    </row>
    <row r="142" spans="1:6">
      <c r="A142" s="105"/>
      <c r="B142" s="16"/>
      <c r="C142" s="16"/>
      <c r="D142" s="106"/>
      <c r="E142" s="106"/>
    </row>
    <row r="143" spans="1:6" ht="15">
      <c r="A143" s="24" t="s">
        <v>96</v>
      </c>
      <c r="B143" s="24"/>
      <c r="C143" s="24"/>
      <c r="D143" s="24"/>
      <c r="E143" s="24"/>
    </row>
    <row r="144" spans="1:6" ht="51" customHeight="1">
      <c r="A144" s="4" t="s">
        <v>97</v>
      </c>
      <c r="B144" s="38"/>
      <c r="C144" s="38"/>
      <c r="D144" s="39"/>
      <c r="E144" s="198" t="s">
        <v>62</v>
      </c>
    </row>
    <row r="145" spans="1:5" s="19" customFormat="1" ht="15">
      <c r="A145" s="94" t="s">
        <v>98</v>
      </c>
      <c r="B145" s="114" t="s">
        <v>83</v>
      </c>
      <c r="C145" s="114" t="s">
        <v>2</v>
      </c>
      <c r="D145" s="115" t="s">
        <v>99</v>
      </c>
      <c r="E145" s="199"/>
    </row>
    <row r="146" spans="1:5">
      <c r="A146" s="2">
        <v>1</v>
      </c>
      <c r="B146" s="56" t="s">
        <v>100</v>
      </c>
      <c r="C146" s="150">
        <v>45881</v>
      </c>
      <c r="D146" s="116">
        <v>2200000000</v>
      </c>
      <c r="E146" s="116">
        <f>+D146</f>
        <v>2200000000</v>
      </c>
    </row>
    <row r="147" spans="1:5">
      <c r="A147" s="2">
        <v>2</v>
      </c>
      <c r="B147" s="56" t="s">
        <v>101</v>
      </c>
      <c r="C147" s="150">
        <v>45925</v>
      </c>
      <c r="D147" s="116">
        <v>998095000</v>
      </c>
      <c r="E147" s="116">
        <f t="shared" ref="E147:E152" si="3">+D147</f>
        <v>998095000</v>
      </c>
    </row>
    <row r="148" spans="1:5">
      <c r="A148" s="2">
        <v>3</v>
      </c>
      <c r="B148" s="56" t="s">
        <v>102</v>
      </c>
      <c r="C148" s="150">
        <v>45925</v>
      </c>
      <c r="D148" s="116">
        <v>190754739</v>
      </c>
      <c r="E148" s="116">
        <f t="shared" si="3"/>
        <v>190754739</v>
      </c>
    </row>
    <row r="149" spans="1:5">
      <c r="A149" s="2">
        <v>4</v>
      </c>
      <c r="B149" s="56" t="s">
        <v>103</v>
      </c>
      <c r="C149" s="150">
        <v>45959</v>
      </c>
      <c r="D149" s="116">
        <v>13650000</v>
      </c>
      <c r="E149" s="116">
        <f t="shared" si="3"/>
        <v>13650000</v>
      </c>
    </row>
    <row r="150" spans="1:5">
      <c r="A150" s="2">
        <v>5</v>
      </c>
      <c r="B150" s="56" t="s">
        <v>104</v>
      </c>
      <c r="C150" s="150">
        <v>45959</v>
      </c>
      <c r="D150" s="116">
        <v>730635725</v>
      </c>
      <c r="E150" s="116">
        <f t="shared" si="3"/>
        <v>730635725</v>
      </c>
    </row>
    <row r="151" spans="1:5">
      <c r="A151" s="2">
        <v>6</v>
      </c>
      <c r="B151" s="56" t="s">
        <v>105</v>
      </c>
      <c r="C151" s="150">
        <v>45959</v>
      </c>
      <c r="D151" s="116">
        <v>95018644</v>
      </c>
      <c r="E151" s="116">
        <f t="shared" si="3"/>
        <v>95018644</v>
      </c>
    </row>
    <row r="152" spans="1:5">
      <c r="A152" s="2">
        <v>7</v>
      </c>
      <c r="B152" s="56" t="s">
        <v>106</v>
      </c>
      <c r="C152" s="150">
        <v>45959</v>
      </c>
      <c r="D152" s="116">
        <v>211478886</v>
      </c>
      <c r="E152" s="116">
        <f t="shared" si="3"/>
        <v>211478886</v>
      </c>
    </row>
    <row r="153" spans="1:5">
      <c r="A153" s="2">
        <v>8</v>
      </c>
      <c r="B153" s="56" t="s">
        <v>107</v>
      </c>
      <c r="C153" s="150">
        <v>45986</v>
      </c>
      <c r="D153" s="116">
        <v>70856001</v>
      </c>
      <c r="E153" s="116">
        <f t="shared" ref="E153:E195" si="4">+D153</f>
        <v>70856001</v>
      </c>
    </row>
    <row r="154" spans="1:5">
      <c r="A154" s="2">
        <v>9</v>
      </c>
      <c r="B154" s="56" t="s">
        <v>108</v>
      </c>
      <c r="C154" s="150">
        <v>45986</v>
      </c>
      <c r="D154" s="116">
        <v>364100919</v>
      </c>
      <c r="E154" s="116">
        <f t="shared" si="4"/>
        <v>364100919</v>
      </c>
    </row>
    <row r="155" spans="1:5">
      <c r="A155" s="2">
        <v>10</v>
      </c>
      <c r="B155" s="56" t="s">
        <v>109</v>
      </c>
      <c r="C155" s="150">
        <v>45986</v>
      </c>
      <c r="D155" s="116">
        <v>13650000</v>
      </c>
      <c r="E155" s="116">
        <f t="shared" si="4"/>
        <v>13650000</v>
      </c>
    </row>
    <row r="156" spans="1:5">
      <c r="A156" s="2">
        <v>11</v>
      </c>
      <c r="B156" s="56" t="s">
        <v>110</v>
      </c>
      <c r="C156" s="150">
        <v>46007</v>
      </c>
      <c r="D156" s="116">
        <v>13650000</v>
      </c>
      <c r="E156" s="116">
        <f t="shared" si="4"/>
        <v>13650000</v>
      </c>
    </row>
    <row r="157" spans="1:5">
      <c r="A157" s="2">
        <v>12</v>
      </c>
      <c r="B157" s="56" t="s">
        <v>111</v>
      </c>
      <c r="C157" s="150">
        <v>46007</v>
      </c>
      <c r="D157" s="116">
        <v>1095953586</v>
      </c>
      <c r="E157" s="116">
        <f t="shared" si="4"/>
        <v>1095953586</v>
      </c>
    </row>
    <row r="158" spans="1:5">
      <c r="A158" s="2">
        <v>13</v>
      </c>
      <c r="B158" s="56" t="s">
        <v>112</v>
      </c>
      <c r="C158" s="150">
        <v>46007</v>
      </c>
      <c r="D158" s="116">
        <v>1299480</v>
      </c>
      <c r="E158" s="116">
        <f t="shared" si="4"/>
        <v>1299480</v>
      </c>
    </row>
    <row r="159" spans="1:5">
      <c r="A159" s="2">
        <v>14</v>
      </c>
      <c r="B159" s="56" t="s">
        <v>113</v>
      </c>
      <c r="C159" s="150">
        <v>46007</v>
      </c>
      <c r="D159" s="116">
        <v>262400529</v>
      </c>
      <c r="E159" s="116">
        <f t="shared" si="4"/>
        <v>262400529</v>
      </c>
    </row>
    <row r="160" spans="1:5">
      <c r="A160" s="2">
        <v>15</v>
      </c>
      <c r="B160" s="56" t="s">
        <v>114</v>
      </c>
      <c r="C160" s="150">
        <v>46048</v>
      </c>
      <c r="D160" s="116">
        <v>1539588229</v>
      </c>
      <c r="E160" s="116">
        <f t="shared" si="4"/>
        <v>1539588229</v>
      </c>
    </row>
    <row r="161" spans="1:5">
      <c r="A161" s="2">
        <v>16</v>
      </c>
      <c r="B161" s="56" t="s">
        <v>115</v>
      </c>
      <c r="C161" s="150">
        <v>46048</v>
      </c>
      <c r="D161" s="116">
        <v>105634262</v>
      </c>
      <c r="E161" s="116">
        <f t="shared" si="4"/>
        <v>105634262</v>
      </c>
    </row>
    <row r="162" spans="1:5">
      <c r="A162" s="2">
        <v>17</v>
      </c>
      <c r="B162" s="56" t="s">
        <v>116</v>
      </c>
      <c r="C162" s="150">
        <v>46048</v>
      </c>
      <c r="D162" s="116">
        <v>378854365</v>
      </c>
      <c r="E162" s="116">
        <f t="shared" si="4"/>
        <v>378854365</v>
      </c>
    </row>
    <row r="163" spans="1:5">
      <c r="A163" s="2">
        <v>18</v>
      </c>
      <c r="B163" s="56" t="s">
        <v>117</v>
      </c>
      <c r="C163" s="150">
        <v>46048</v>
      </c>
      <c r="D163" s="116">
        <v>13650000</v>
      </c>
      <c r="E163" s="116">
        <f t="shared" si="4"/>
        <v>13650000</v>
      </c>
    </row>
    <row r="164" spans="1:5">
      <c r="A164" s="2">
        <v>19</v>
      </c>
      <c r="B164" s="56" t="s">
        <v>118</v>
      </c>
      <c r="C164" s="150">
        <v>46063</v>
      </c>
      <c r="D164" s="116">
        <v>1157936725</v>
      </c>
      <c r="E164" s="116">
        <f t="shared" si="4"/>
        <v>1157936725</v>
      </c>
    </row>
    <row r="165" spans="1:5">
      <c r="A165" s="2">
        <v>20</v>
      </c>
      <c r="B165" s="56" t="s">
        <v>119</v>
      </c>
      <c r="C165" s="150">
        <v>46063</v>
      </c>
      <c r="D165" s="116">
        <v>147868279</v>
      </c>
      <c r="E165" s="116">
        <f t="shared" si="4"/>
        <v>147868279</v>
      </c>
    </row>
    <row r="166" spans="1:5">
      <c r="A166" s="2">
        <v>21</v>
      </c>
      <c r="B166" s="56" t="s">
        <v>120</v>
      </c>
      <c r="C166" s="150">
        <v>46062</v>
      </c>
      <c r="D166" s="116">
        <v>13991250</v>
      </c>
      <c r="E166" s="116">
        <f t="shared" si="4"/>
        <v>13991250</v>
      </c>
    </row>
    <row r="167" spans="1:5">
      <c r="A167" s="2">
        <v>22</v>
      </c>
      <c r="B167" s="56" t="s">
        <v>121</v>
      </c>
      <c r="C167" s="151" t="s">
        <v>122</v>
      </c>
      <c r="D167" s="116">
        <v>13991250</v>
      </c>
      <c r="E167" s="116">
        <f t="shared" si="4"/>
        <v>13991250</v>
      </c>
    </row>
    <row r="168" spans="1:5">
      <c r="A168" s="2">
        <v>23</v>
      </c>
      <c r="B168" s="56" t="s">
        <v>123</v>
      </c>
      <c r="C168" s="151" t="s">
        <v>124</v>
      </c>
      <c r="D168" s="116">
        <v>1331967</v>
      </c>
      <c r="E168" s="116">
        <f t="shared" si="4"/>
        <v>1331967</v>
      </c>
    </row>
    <row r="169" spans="1:5">
      <c r="A169" s="2">
        <v>24</v>
      </c>
      <c r="B169" s="56" t="s">
        <v>125</v>
      </c>
      <c r="C169" s="151" t="s">
        <v>124</v>
      </c>
      <c r="D169" s="116">
        <v>370527663</v>
      </c>
      <c r="E169" s="116">
        <f t="shared" si="4"/>
        <v>370527663</v>
      </c>
    </row>
    <row r="170" spans="1:5">
      <c r="A170" s="2">
        <v>25</v>
      </c>
      <c r="B170" s="56" t="s">
        <v>126</v>
      </c>
      <c r="C170" s="151">
        <v>46128</v>
      </c>
      <c r="D170" s="116">
        <v>27568325</v>
      </c>
      <c r="E170" s="116">
        <f t="shared" si="4"/>
        <v>27568325</v>
      </c>
    </row>
    <row r="171" spans="1:5">
      <c r="A171" s="2">
        <v>26</v>
      </c>
      <c r="B171" s="56" t="s">
        <v>127</v>
      </c>
      <c r="C171" s="151">
        <v>46128</v>
      </c>
      <c r="D171" s="116">
        <v>13991250</v>
      </c>
      <c r="E171" s="116">
        <f t="shared" si="4"/>
        <v>13991250</v>
      </c>
    </row>
    <row r="172" spans="1:5">
      <c r="A172" s="2">
        <v>27</v>
      </c>
      <c r="B172" s="56" t="s">
        <v>128</v>
      </c>
      <c r="C172" s="151">
        <v>46128</v>
      </c>
      <c r="D172" s="116">
        <v>141873578</v>
      </c>
      <c r="E172" s="116">
        <f t="shared" si="4"/>
        <v>141873578</v>
      </c>
    </row>
    <row r="173" spans="1:5">
      <c r="A173" s="2">
        <v>28</v>
      </c>
      <c r="B173" s="56" t="s">
        <v>129</v>
      </c>
      <c r="C173" s="151">
        <v>46129</v>
      </c>
      <c r="D173" s="116">
        <v>979376728</v>
      </c>
      <c r="E173" s="116">
        <f t="shared" si="4"/>
        <v>979376728</v>
      </c>
    </row>
    <row r="174" spans="1:5">
      <c r="A174" s="2">
        <v>29</v>
      </c>
      <c r="B174" s="56" t="s">
        <v>130</v>
      </c>
      <c r="C174" s="151">
        <v>46129</v>
      </c>
      <c r="D174" s="116">
        <v>1331967</v>
      </c>
      <c r="E174" s="116">
        <f t="shared" si="4"/>
        <v>1331967</v>
      </c>
    </row>
    <row r="175" spans="1:5">
      <c r="A175" s="2">
        <v>30</v>
      </c>
      <c r="B175" s="56" t="s">
        <v>131</v>
      </c>
      <c r="C175" s="151">
        <v>46199</v>
      </c>
      <c r="D175" s="116">
        <v>45786710</v>
      </c>
      <c r="E175" s="116">
        <f t="shared" si="4"/>
        <v>45786710</v>
      </c>
    </row>
    <row r="176" spans="1:5">
      <c r="A176" s="2">
        <v>31</v>
      </c>
      <c r="B176" s="56" t="s">
        <v>132</v>
      </c>
      <c r="C176" s="151">
        <v>46199</v>
      </c>
      <c r="D176" s="116">
        <v>16130869</v>
      </c>
      <c r="E176" s="116">
        <f t="shared" si="4"/>
        <v>16130869</v>
      </c>
    </row>
    <row r="177" spans="1:9">
      <c r="A177" s="2">
        <v>32</v>
      </c>
      <c r="B177" s="56" t="s">
        <v>133</v>
      </c>
      <c r="C177" s="151">
        <v>46199</v>
      </c>
      <c r="D177" s="116">
        <v>48935567</v>
      </c>
      <c r="E177" s="116">
        <f t="shared" si="4"/>
        <v>48935567</v>
      </c>
    </row>
    <row r="178" spans="1:9">
      <c r="A178" s="2">
        <v>33</v>
      </c>
      <c r="B178" s="56" t="s">
        <v>134</v>
      </c>
      <c r="C178" s="151">
        <v>46199</v>
      </c>
      <c r="D178" s="116">
        <v>4358895</v>
      </c>
      <c r="E178" s="116">
        <f t="shared" si="4"/>
        <v>4358895</v>
      </c>
    </row>
    <row r="179" spans="1:9">
      <c r="A179" s="2">
        <v>34</v>
      </c>
      <c r="B179" s="56" t="s">
        <v>135</v>
      </c>
      <c r="C179" s="151">
        <v>46199</v>
      </c>
      <c r="D179" s="116">
        <v>13991250</v>
      </c>
      <c r="E179" s="116">
        <f t="shared" si="4"/>
        <v>13991250</v>
      </c>
    </row>
    <row r="180" spans="1:9">
      <c r="A180" s="2">
        <v>35</v>
      </c>
      <c r="B180" s="56" t="s">
        <v>136</v>
      </c>
      <c r="C180" s="151">
        <v>46199</v>
      </c>
      <c r="D180" s="116">
        <v>1801763757</v>
      </c>
      <c r="E180" s="116">
        <f t="shared" si="4"/>
        <v>1801763757</v>
      </c>
    </row>
    <row r="181" spans="1:9">
      <c r="A181" s="2">
        <v>36</v>
      </c>
      <c r="B181" s="56" t="s">
        <v>137</v>
      </c>
      <c r="C181" s="151">
        <v>46199</v>
      </c>
      <c r="D181" s="116">
        <v>1331967</v>
      </c>
      <c r="E181" s="116">
        <f t="shared" si="4"/>
        <v>1331967</v>
      </c>
    </row>
    <row r="182" spans="1:9">
      <c r="A182" s="2">
        <v>37</v>
      </c>
      <c r="B182" s="56" t="s">
        <v>138</v>
      </c>
      <c r="C182" s="151">
        <v>46199</v>
      </c>
      <c r="D182" s="116">
        <v>13991250</v>
      </c>
      <c r="E182" s="116">
        <f t="shared" si="4"/>
        <v>13991250</v>
      </c>
    </row>
    <row r="183" spans="1:9">
      <c r="A183" s="2">
        <v>38</v>
      </c>
      <c r="B183" s="56" t="s">
        <v>139</v>
      </c>
      <c r="C183" s="151">
        <v>46199</v>
      </c>
      <c r="D183" s="116">
        <v>511655007</v>
      </c>
      <c r="E183" s="116">
        <f t="shared" si="4"/>
        <v>511655007</v>
      </c>
    </row>
    <row r="184" spans="1:9">
      <c r="A184" s="2">
        <v>39</v>
      </c>
      <c r="B184" s="56" t="s">
        <v>140</v>
      </c>
      <c r="C184" s="151">
        <v>46199</v>
      </c>
      <c r="D184" s="116">
        <v>1331967</v>
      </c>
      <c r="E184" s="116">
        <f t="shared" si="4"/>
        <v>1331967</v>
      </c>
    </row>
    <row r="185" spans="1:9">
      <c r="A185" s="2">
        <v>40</v>
      </c>
      <c r="B185" s="56" t="s">
        <v>141</v>
      </c>
      <c r="C185" s="151">
        <v>46227</v>
      </c>
      <c r="D185" s="116">
        <v>34315875</v>
      </c>
      <c r="E185" s="116">
        <f t="shared" si="4"/>
        <v>34315875</v>
      </c>
    </row>
    <row r="186" spans="1:9">
      <c r="A186" s="2">
        <v>41</v>
      </c>
      <c r="B186" s="56" t="s">
        <v>142</v>
      </c>
      <c r="C186" s="151">
        <v>46227</v>
      </c>
      <c r="D186" s="116">
        <v>4658666</v>
      </c>
      <c r="E186" s="116">
        <f t="shared" si="4"/>
        <v>4658666</v>
      </c>
    </row>
    <row r="187" spans="1:9" hidden="1">
      <c r="A187" s="2">
        <v>42</v>
      </c>
      <c r="B187" s="56" t="s">
        <v>143</v>
      </c>
      <c r="C187" s="151"/>
      <c r="D187" s="116"/>
      <c r="E187" s="116">
        <f t="shared" si="4"/>
        <v>0</v>
      </c>
    </row>
    <row r="188" spans="1:9" hidden="1">
      <c r="A188" s="2">
        <v>43</v>
      </c>
      <c r="B188" s="56" t="s">
        <v>144</v>
      </c>
      <c r="C188" s="151"/>
      <c r="D188" s="116"/>
      <c r="E188" s="116">
        <f t="shared" si="4"/>
        <v>0</v>
      </c>
    </row>
    <row r="189" spans="1:9" hidden="1">
      <c r="A189" s="2">
        <v>44</v>
      </c>
      <c r="B189" s="56" t="s">
        <v>145</v>
      </c>
      <c r="C189" s="151"/>
      <c r="D189" s="116"/>
      <c r="E189" s="116">
        <f t="shared" si="4"/>
        <v>0</v>
      </c>
      <c r="I189" s="43">
        <f>+D196+D189+D187+D188</f>
        <v>13667311127</v>
      </c>
    </row>
    <row r="190" spans="1:9" hidden="1">
      <c r="A190" s="2"/>
      <c r="B190" s="56"/>
      <c r="C190" s="151"/>
      <c r="D190" s="116"/>
      <c r="E190" s="116">
        <f t="shared" si="4"/>
        <v>0</v>
      </c>
    </row>
    <row r="191" spans="1:9" hidden="1">
      <c r="A191" s="2"/>
      <c r="B191" s="56"/>
      <c r="C191" s="151"/>
      <c r="D191" s="116"/>
      <c r="E191" s="116">
        <f t="shared" si="4"/>
        <v>0</v>
      </c>
    </row>
    <row r="192" spans="1:9" hidden="1">
      <c r="A192" s="2"/>
      <c r="B192" s="56"/>
      <c r="C192" s="151"/>
      <c r="D192" s="116"/>
      <c r="E192" s="116">
        <f t="shared" si="4"/>
        <v>0</v>
      </c>
    </row>
    <row r="193" spans="1:6" hidden="1">
      <c r="A193" s="2"/>
      <c r="B193" s="56"/>
      <c r="C193" s="151"/>
      <c r="D193" s="116"/>
      <c r="E193" s="116">
        <f t="shared" si="4"/>
        <v>0</v>
      </c>
    </row>
    <row r="194" spans="1:6" hidden="1">
      <c r="A194" s="2"/>
      <c r="B194" s="56"/>
      <c r="C194" s="151"/>
      <c r="D194" s="116"/>
      <c r="E194" s="116">
        <f t="shared" si="4"/>
        <v>0</v>
      </c>
    </row>
    <row r="195" spans="1:6" ht="15" hidden="1">
      <c r="A195" s="2"/>
      <c r="B195" s="56"/>
      <c r="C195" s="152"/>
      <c r="D195" s="116"/>
      <c r="E195" s="116">
        <f t="shared" si="4"/>
        <v>0</v>
      </c>
    </row>
    <row r="196" spans="1:6" ht="15">
      <c r="A196" s="4" t="s">
        <v>146</v>
      </c>
      <c r="B196" s="4"/>
      <c r="C196" s="4"/>
      <c r="D196" s="117">
        <f>SUM(D146:D195)</f>
        <v>13667311127</v>
      </c>
      <c r="E196" s="117">
        <f>SUM(E146:E195)</f>
        <v>13667311127</v>
      </c>
    </row>
    <row r="197" spans="1:6">
      <c r="B197" s="105"/>
      <c r="C197" s="105"/>
      <c r="D197" s="106"/>
      <c r="E197" s="106"/>
    </row>
    <row r="198" spans="1:6" ht="15">
      <c r="A198" s="40" t="s">
        <v>147</v>
      </c>
      <c r="B198" s="40"/>
      <c r="C198" s="40"/>
      <c r="D198" s="40"/>
      <c r="E198" s="41">
        <f>+E196</f>
        <v>13667311127</v>
      </c>
    </row>
    <row r="199" spans="1:6">
      <c r="B199" s="16"/>
      <c r="C199" s="16"/>
      <c r="E199" s="30"/>
    </row>
    <row r="200" spans="1:6" ht="15">
      <c r="A200" s="40" t="s">
        <v>148</v>
      </c>
      <c r="B200" s="40"/>
      <c r="C200" s="40"/>
      <c r="D200" s="40"/>
      <c r="E200" s="42">
        <f>+D55+E114-E140-E196</f>
        <v>5149350305</v>
      </c>
      <c r="F200" s="43">
        <f>+E200-C47-C48-D93-D94-D95</f>
        <v>4329770700</v>
      </c>
    </row>
    <row r="201" spans="1:6">
      <c r="B201" s="16"/>
      <c r="C201" s="16"/>
      <c r="E201" s="30"/>
    </row>
    <row r="202" spans="1:6" ht="15">
      <c r="A202" s="40" t="s">
        <v>149</v>
      </c>
      <c r="B202" s="40"/>
      <c r="C202" s="40"/>
      <c r="D202" s="40"/>
      <c r="E202" s="41">
        <f>B37-E198</f>
        <v>12332688873</v>
      </c>
      <c r="F202" s="33"/>
    </row>
    <row r="203" spans="1:6">
      <c r="B203" s="16"/>
      <c r="C203" s="16"/>
      <c r="D203" s="1"/>
      <c r="E203" s="30"/>
    </row>
    <row r="204" spans="1:6">
      <c r="E204" s="43">
        <v>15978021888</v>
      </c>
    </row>
    <row r="205" spans="1:6" ht="15">
      <c r="E205" s="45"/>
    </row>
    <row r="206" spans="1:6">
      <c r="E206" s="43">
        <f>+E202-E204</f>
        <v>-3645333015</v>
      </c>
    </row>
  </sheetData>
  <mergeCells count="2">
    <mergeCell ref="E144:E145"/>
    <mergeCell ref="A116:B118"/>
  </mergeCells>
  <phoneticPr fontId="4" type="noConversion"/>
  <pageMargins left="0.70866141732283472" right="0.70866141732283472" top="0.74803149606299213" bottom="0.74803149606299213" header="0.31496062992125984" footer="0.31496062992125984"/>
  <pageSetup scale="38" orientation="portrait" r:id="rId1"/>
  <ignoredErrors>
    <ignoredError sqref="B37 D37" formula="1"/>
    <ignoredError sqref="D54 E117 E165:E167 E175" emptyCellReferenc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5"/>
  <sheetViews>
    <sheetView tabSelected="1" topLeftCell="B1" zoomScaleNormal="100" workbookViewId="0">
      <selection activeCell="R22" sqref="R22"/>
    </sheetView>
  </sheetViews>
  <sheetFormatPr baseColWidth="10" defaultColWidth="11.42578125" defaultRowHeight="15"/>
  <cols>
    <col min="1" max="1" width="4.85546875" style="62" customWidth="1"/>
    <col min="2" max="2" width="15.7109375" style="62" customWidth="1"/>
    <col min="3" max="3" width="20.28515625" style="62" bestFit="1" customWidth="1"/>
    <col min="4" max="4" width="20" style="62" customWidth="1"/>
    <col min="5" max="5" width="20" style="75" customWidth="1"/>
    <col min="6" max="6" width="11.7109375" style="62" customWidth="1"/>
    <col min="7" max="7" width="20" style="62" customWidth="1"/>
    <col min="8" max="8" width="3" style="62" customWidth="1"/>
    <col min="9" max="10" width="18.28515625" style="62" customWidth="1"/>
    <col min="11" max="11" width="13.5703125" style="62" bestFit="1" customWidth="1"/>
    <col min="12" max="12" width="18.28515625" style="62" customWidth="1"/>
    <col min="13" max="13" width="1.7109375" style="62" customWidth="1"/>
    <col min="14" max="14" width="19.5703125" style="62" customWidth="1"/>
    <col min="15" max="15" width="17.5703125" style="62" customWidth="1"/>
    <col min="16" max="16" width="11.42578125" style="62"/>
    <col min="17" max="17" width="17.28515625" style="122" customWidth="1"/>
    <col min="18" max="18" width="16.5703125" style="62" customWidth="1"/>
    <col min="19" max="16384" width="11.42578125" style="62"/>
  </cols>
  <sheetData>
    <row r="1" spans="1:18" ht="15" customHeight="1">
      <c r="B1" s="240" t="s">
        <v>150</v>
      </c>
      <c r="C1" s="240"/>
      <c r="D1" s="240"/>
      <c r="E1" s="240"/>
      <c r="F1" s="240"/>
      <c r="G1" s="240"/>
      <c r="H1" s="122"/>
      <c r="I1" s="239"/>
      <c r="J1" s="239"/>
      <c r="K1" s="239"/>
      <c r="L1" s="239"/>
    </row>
    <row r="2" spans="1:18" s="120" customFormat="1" ht="15.75">
      <c r="B2" s="180" t="s">
        <v>2</v>
      </c>
      <c r="C2" s="208" t="s">
        <v>151</v>
      </c>
      <c r="D2" s="246"/>
      <c r="E2" s="209"/>
      <c r="F2" s="224" t="s">
        <v>152</v>
      </c>
      <c r="G2" s="224"/>
      <c r="H2" s="123"/>
      <c r="I2" s="243"/>
      <c r="J2" s="243"/>
      <c r="K2" s="243"/>
      <c r="L2" s="243"/>
      <c r="O2" s="120">
        <f>+O9+O10+O11+O12+7000000000</f>
        <v>18815817845</v>
      </c>
      <c r="Q2" s="123"/>
    </row>
    <row r="3" spans="1:18">
      <c r="B3" s="175">
        <v>45757</v>
      </c>
      <c r="C3" s="212" t="s">
        <v>153</v>
      </c>
      <c r="D3" s="212"/>
      <c r="E3" s="207"/>
      <c r="F3" s="244">
        <v>25982939387</v>
      </c>
      <c r="G3" s="245"/>
      <c r="I3" s="242"/>
      <c r="J3" s="242"/>
      <c r="K3" s="241"/>
      <c r="L3" s="241"/>
      <c r="O3" s="170">
        <f>+O2+O36</f>
        <v>20188918975</v>
      </c>
    </row>
    <row r="4" spans="1:18">
      <c r="B4" s="175">
        <v>46020</v>
      </c>
      <c r="C4" s="212" t="s">
        <v>154</v>
      </c>
      <c r="D4" s="212"/>
      <c r="E4" s="207"/>
      <c r="F4" s="244">
        <v>1462022598</v>
      </c>
      <c r="G4" s="245"/>
      <c r="I4" s="242"/>
      <c r="J4" s="242"/>
      <c r="K4" s="241"/>
      <c r="L4" s="241"/>
    </row>
    <row r="5" spans="1:18">
      <c r="B5" s="175"/>
      <c r="C5" s="212"/>
      <c r="D5" s="212"/>
      <c r="E5" s="207"/>
      <c r="F5" s="210"/>
      <c r="G5" s="211"/>
      <c r="I5" s="242"/>
      <c r="J5" s="242"/>
      <c r="K5" s="241"/>
      <c r="L5" s="241"/>
    </row>
    <row r="6" spans="1:18">
      <c r="B6" s="175"/>
      <c r="C6" s="212"/>
      <c r="D6" s="212"/>
      <c r="E6" s="207"/>
      <c r="F6" s="210"/>
      <c r="G6" s="211"/>
      <c r="I6" s="242"/>
      <c r="J6" s="242"/>
      <c r="K6" s="241"/>
      <c r="L6" s="241"/>
    </row>
    <row r="7" spans="1:18" s="120" customFormat="1" ht="15.75" customHeight="1">
      <c r="B7" s="234" t="s">
        <v>155</v>
      </c>
      <c r="C7" s="235"/>
      <c r="D7" s="235"/>
      <c r="E7" s="236"/>
      <c r="F7" s="237">
        <f>SUM(F3:G4)</f>
        <v>27444961985</v>
      </c>
      <c r="G7" s="237"/>
      <c r="I7" s="238" t="s">
        <v>156</v>
      </c>
      <c r="J7" s="238"/>
      <c r="K7" s="238"/>
      <c r="L7" s="238"/>
      <c r="N7" s="221" t="s">
        <v>157</v>
      </c>
      <c r="O7" s="222"/>
      <c r="P7" s="222"/>
      <c r="Q7" s="223"/>
    </row>
    <row r="8" spans="1:18" ht="15.75">
      <c r="B8" s="121" t="s">
        <v>151</v>
      </c>
      <c r="C8" s="121" t="s">
        <v>2</v>
      </c>
      <c r="D8" s="121" t="s">
        <v>83</v>
      </c>
      <c r="E8" s="233" t="s">
        <v>158</v>
      </c>
      <c r="F8" s="233"/>
      <c r="G8" s="121" t="s">
        <v>159</v>
      </c>
      <c r="I8" s="121" t="s">
        <v>2</v>
      </c>
      <c r="J8" s="233" t="s">
        <v>158</v>
      </c>
      <c r="K8" s="233"/>
      <c r="L8" s="121" t="s">
        <v>159</v>
      </c>
      <c r="N8" s="171" t="s">
        <v>2</v>
      </c>
      <c r="O8" s="224" t="s">
        <v>160</v>
      </c>
      <c r="P8" s="224"/>
      <c r="Q8" s="171" t="s">
        <v>151</v>
      </c>
    </row>
    <row r="9" spans="1:18" ht="15" customHeight="1">
      <c r="A9" s="62">
        <f>IF(C9="","",ROW()-8)</f>
        <v>1</v>
      </c>
      <c r="B9" s="77" t="s">
        <v>161</v>
      </c>
      <c r="C9" s="77" t="s">
        <v>162</v>
      </c>
      <c r="D9" s="189" t="s">
        <v>100</v>
      </c>
      <c r="E9" s="78">
        <v>2200000000</v>
      </c>
      <c r="F9" s="218">
        <f>+SUM(E9:E75)/$F$7</f>
        <v>0.54312004476984888</v>
      </c>
      <c r="G9" s="78">
        <f>IF(E9=0,0,F3-E9)</f>
        <v>23782939387</v>
      </c>
      <c r="I9" s="77" t="str">
        <f t="shared" ref="I9:I40" si="0">IF(C9="","",+C9)</f>
        <v>12/08/2025  </v>
      </c>
      <c r="J9" s="78">
        <f t="shared" ref="J9:J34" si="1">+E9</f>
        <v>2200000000</v>
      </c>
      <c r="K9" s="230">
        <f>SUM(J9:J75)/O34</f>
        <v>0.96995397167439901</v>
      </c>
      <c r="L9" s="78">
        <f>IF(J9=0,"",O34-J9)</f>
        <v>13167645700</v>
      </c>
      <c r="N9" s="77">
        <v>45594</v>
      </c>
      <c r="O9" s="178">
        <v>5000000000</v>
      </c>
      <c r="P9" s="218">
        <f>+O34/F7</f>
        <v>0.55994414233108292</v>
      </c>
      <c r="Q9" s="74" t="s">
        <v>161</v>
      </c>
    </row>
    <row r="10" spans="1:18" ht="15" customHeight="1">
      <c r="A10" s="62">
        <f t="shared" ref="A10:A73" si="2">IF(C10="","",ROW()-8)</f>
        <v>2</v>
      </c>
      <c r="B10" s="77" t="s">
        <v>161</v>
      </c>
      <c r="C10" s="77" t="s">
        <v>163</v>
      </c>
      <c r="D10" s="189" t="s">
        <v>101</v>
      </c>
      <c r="E10" s="78">
        <v>998095000</v>
      </c>
      <c r="F10" s="219"/>
      <c r="G10" s="78">
        <f t="shared" ref="G10:G26" si="3">IF(E10=0,0,G9-E10)</f>
        <v>22784844387</v>
      </c>
      <c r="I10" s="77" t="str">
        <f t="shared" si="0"/>
        <v>02/09/2025  </v>
      </c>
      <c r="J10" s="78">
        <f t="shared" si="1"/>
        <v>998095000</v>
      </c>
      <c r="K10" s="231"/>
      <c r="L10" s="78">
        <f>IF(J10=0,"",L9-J10)</f>
        <v>12169550700</v>
      </c>
      <c r="N10" s="77">
        <v>46001</v>
      </c>
      <c r="O10" s="178">
        <v>6000000000</v>
      </c>
      <c r="P10" s="219"/>
      <c r="Q10" s="74" t="s">
        <v>161</v>
      </c>
    </row>
    <row r="11" spans="1:18" ht="15" customHeight="1">
      <c r="A11" s="62">
        <f t="shared" si="2"/>
        <v>3</v>
      </c>
      <c r="B11" s="77" t="s">
        <v>161</v>
      </c>
      <c r="C11" s="77" t="s">
        <v>164</v>
      </c>
      <c r="D11" s="189" t="s">
        <v>102</v>
      </c>
      <c r="E11" s="78">
        <v>190754739</v>
      </c>
      <c r="F11" s="219"/>
      <c r="G11" s="78">
        <f t="shared" si="3"/>
        <v>22594089648</v>
      </c>
      <c r="I11" s="77" t="str">
        <f t="shared" si="0"/>
        <v>16/09/2025  </v>
      </c>
      <c r="J11" s="78">
        <f t="shared" si="1"/>
        <v>190754739</v>
      </c>
      <c r="K11" s="231"/>
      <c r="L11" s="78">
        <f t="shared" ref="L11:L74" si="4">IF(J11=0,"",L10-J11)</f>
        <v>11978795961</v>
      </c>
      <c r="N11" s="77">
        <v>46044</v>
      </c>
      <c r="O11" s="178">
        <v>207173258</v>
      </c>
      <c r="P11" s="219"/>
      <c r="Q11" s="74" t="s">
        <v>165</v>
      </c>
      <c r="R11" s="192">
        <v>7000000000</v>
      </c>
    </row>
    <row r="12" spans="1:18" ht="15" customHeight="1">
      <c r="A12" s="62">
        <f t="shared" si="2"/>
        <v>4</v>
      </c>
      <c r="B12" s="77" t="s">
        <v>161</v>
      </c>
      <c r="C12" s="77" t="s">
        <v>166</v>
      </c>
      <c r="D12" s="189" t="s">
        <v>103</v>
      </c>
      <c r="E12" s="78">
        <v>13650000</v>
      </c>
      <c r="F12" s="219"/>
      <c r="G12" s="78">
        <f t="shared" si="3"/>
        <v>22580439648</v>
      </c>
      <c r="I12" s="77" t="str">
        <f t="shared" si="0"/>
        <v>23/10/2025  </v>
      </c>
      <c r="J12" s="78">
        <f t="shared" si="1"/>
        <v>13650000</v>
      </c>
      <c r="K12" s="231"/>
      <c r="L12" s="78">
        <f t="shared" si="4"/>
        <v>11965145961</v>
      </c>
      <c r="N12" s="77">
        <v>46101</v>
      </c>
      <c r="O12" s="178">
        <v>608644587</v>
      </c>
      <c r="P12" s="219"/>
      <c r="Q12" s="74" t="s">
        <v>165</v>
      </c>
      <c r="R12" s="191"/>
    </row>
    <row r="13" spans="1:18" ht="15" customHeight="1">
      <c r="A13" s="62">
        <f t="shared" si="2"/>
        <v>5</v>
      </c>
      <c r="B13" s="77" t="s">
        <v>161</v>
      </c>
      <c r="C13" s="77" t="s">
        <v>166</v>
      </c>
      <c r="D13" s="189" t="s">
        <v>104</v>
      </c>
      <c r="E13" s="78">
        <v>95018644</v>
      </c>
      <c r="F13" s="219"/>
      <c r="G13" s="78">
        <f t="shared" si="3"/>
        <v>22485421004</v>
      </c>
      <c r="I13" s="77" t="str">
        <f t="shared" si="0"/>
        <v>23/10/2025  </v>
      </c>
      <c r="J13" s="78">
        <f t="shared" si="1"/>
        <v>95018644</v>
      </c>
      <c r="K13" s="231"/>
      <c r="L13" s="78">
        <f t="shared" si="4"/>
        <v>11870127317</v>
      </c>
      <c r="N13" s="77">
        <v>46171</v>
      </c>
      <c r="O13" s="178">
        <v>1817086974</v>
      </c>
      <c r="P13" s="219"/>
      <c r="Q13" s="74" t="s">
        <v>161</v>
      </c>
      <c r="R13" s="183">
        <f>SUM(O13:O20)</f>
        <v>3551827855</v>
      </c>
    </row>
    <row r="14" spans="1:18" ht="15" customHeight="1">
      <c r="A14" s="62">
        <f t="shared" si="2"/>
        <v>6</v>
      </c>
      <c r="B14" s="77" t="s">
        <v>161</v>
      </c>
      <c r="C14" s="77" t="s">
        <v>166</v>
      </c>
      <c r="D14" s="189" t="s">
        <v>105</v>
      </c>
      <c r="E14" s="78">
        <v>730635725</v>
      </c>
      <c r="F14" s="219"/>
      <c r="G14" s="78">
        <f t="shared" si="3"/>
        <v>21754785279</v>
      </c>
      <c r="I14" s="77" t="str">
        <f t="shared" si="0"/>
        <v>23/10/2025  </v>
      </c>
      <c r="J14" s="78">
        <f t="shared" si="1"/>
        <v>730635725</v>
      </c>
      <c r="K14" s="231"/>
      <c r="L14" s="78">
        <f t="shared" si="4"/>
        <v>11139491592</v>
      </c>
      <c r="N14" s="77">
        <v>46191</v>
      </c>
      <c r="O14" s="178">
        <v>526978224</v>
      </c>
      <c r="P14" s="219"/>
      <c r="Q14" s="74" t="s">
        <v>161</v>
      </c>
      <c r="R14" s="183"/>
    </row>
    <row r="15" spans="1:18" ht="15.75" customHeight="1">
      <c r="A15" s="62">
        <f t="shared" si="2"/>
        <v>7</v>
      </c>
      <c r="B15" s="77" t="s">
        <v>161</v>
      </c>
      <c r="C15" s="77" t="s">
        <v>166</v>
      </c>
      <c r="D15" s="189" t="s">
        <v>106</v>
      </c>
      <c r="E15" s="78">
        <v>211478886</v>
      </c>
      <c r="F15" s="219"/>
      <c r="G15" s="78">
        <f t="shared" si="3"/>
        <v>21543306393</v>
      </c>
      <c r="I15" s="77" t="str">
        <f t="shared" si="0"/>
        <v>23/10/2025  </v>
      </c>
      <c r="J15" s="78">
        <f t="shared" si="1"/>
        <v>211478886</v>
      </c>
      <c r="K15" s="231"/>
      <c r="L15" s="78">
        <f t="shared" si="4"/>
        <v>10928012706</v>
      </c>
      <c r="N15" s="77">
        <v>46220</v>
      </c>
      <c r="O15" s="178">
        <v>526978224</v>
      </c>
      <c r="P15" s="219"/>
      <c r="Q15" s="74" t="s">
        <v>161</v>
      </c>
      <c r="R15" s="193">
        <f>+R11-R13</f>
        <v>3448172145</v>
      </c>
    </row>
    <row r="16" spans="1:18" ht="15.75" customHeight="1">
      <c r="A16" s="62">
        <f t="shared" si="2"/>
        <v>8</v>
      </c>
      <c r="B16" s="77" t="s">
        <v>161</v>
      </c>
      <c r="C16" s="77" t="s">
        <v>167</v>
      </c>
      <c r="D16" s="189" t="s">
        <v>107</v>
      </c>
      <c r="E16" s="78">
        <v>70856001</v>
      </c>
      <c r="F16" s="219"/>
      <c r="G16" s="78">
        <f>IF(E16=0,0,G15-E16)</f>
        <v>21472450392</v>
      </c>
      <c r="I16" s="77" t="str">
        <f t="shared" si="0"/>
        <v>25/11/2025  </v>
      </c>
      <c r="J16" s="78">
        <f t="shared" si="1"/>
        <v>70856001</v>
      </c>
      <c r="K16" s="231"/>
      <c r="L16" s="78">
        <f t="shared" si="4"/>
        <v>10857156705</v>
      </c>
      <c r="N16" s="77"/>
      <c r="O16" s="178">
        <v>680784433</v>
      </c>
      <c r="P16" s="219"/>
      <c r="Q16" s="74" t="s">
        <v>161</v>
      </c>
      <c r="R16" s="191"/>
    </row>
    <row r="17" spans="1:18" ht="15.75" customHeight="1">
      <c r="A17" s="62">
        <f t="shared" si="2"/>
        <v>9</v>
      </c>
      <c r="B17" s="77" t="s">
        <v>161</v>
      </c>
      <c r="C17" s="77" t="s">
        <v>167</v>
      </c>
      <c r="D17" s="189" t="s">
        <v>108</v>
      </c>
      <c r="E17" s="78">
        <v>364100919</v>
      </c>
      <c r="F17" s="219"/>
      <c r="G17" s="78">
        <f>IF(E17=0,0,G16-E17)</f>
        <v>21108349473</v>
      </c>
      <c r="I17" s="77" t="str">
        <f t="shared" si="0"/>
        <v>25/11/2025  </v>
      </c>
      <c r="J17" s="78">
        <f t="shared" si="1"/>
        <v>364100919</v>
      </c>
      <c r="K17" s="231"/>
      <c r="L17" s="78">
        <f t="shared" si="4"/>
        <v>10493055786</v>
      </c>
      <c r="N17" s="77"/>
      <c r="O17" s="178"/>
      <c r="P17" s="219"/>
      <c r="Q17" s="74"/>
    </row>
    <row r="18" spans="1:18" ht="15.75" customHeight="1">
      <c r="A18" s="62">
        <f t="shared" si="2"/>
        <v>10</v>
      </c>
      <c r="B18" s="77" t="s">
        <v>161</v>
      </c>
      <c r="C18" s="77" t="s">
        <v>167</v>
      </c>
      <c r="D18" s="189" t="s">
        <v>109</v>
      </c>
      <c r="E18" s="78">
        <v>13650000</v>
      </c>
      <c r="F18" s="219"/>
      <c r="G18" s="78">
        <f t="shared" si="3"/>
        <v>21094699473</v>
      </c>
      <c r="I18" s="77" t="str">
        <f t="shared" si="0"/>
        <v>25/11/2025  </v>
      </c>
      <c r="J18" s="78">
        <f t="shared" si="1"/>
        <v>13650000</v>
      </c>
      <c r="K18" s="231"/>
      <c r="L18" s="78">
        <f t="shared" si="4"/>
        <v>10479405786</v>
      </c>
      <c r="N18" s="77"/>
      <c r="O18" s="178"/>
      <c r="P18" s="219"/>
      <c r="Q18" s="74"/>
      <c r="R18" s="62">
        <f>+O13+O14</f>
        <v>2344065198</v>
      </c>
    </row>
    <row r="19" spans="1:18" ht="15.75" customHeight="1">
      <c r="A19" s="62">
        <f t="shared" si="2"/>
        <v>11</v>
      </c>
      <c r="B19" s="77" t="s">
        <v>161</v>
      </c>
      <c r="C19" s="77" t="s">
        <v>168</v>
      </c>
      <c r="D19" s="189" t="s">
        <v>110</v>
      </c>
      <c r="E19" s="78">
        <v>13650000</v>
      </c>
      <c r="F19" s="219"/>
      <c r="G19" s="78">
        <f t="shared" si="3"/>
        <v>21081049473</v>
      </c>
      <c r="I19" s="77" t="str">
        <f t="shared" si="0"/>
        <v>02/12/2025 </v>
      </c>
      <c r="J19" s="78">
        <f t="shared" si="1"/>
        <v>13650000</v>
      </c>
      <c r="K19" s="231"/>
      <c r="L19" s="78">
        <f t="shared" si="4"/>
        <v>10465755786</v>
      </c>
      <c r="N19" s="77"/>
      <c r="O19" s="178"/>
      <c r="P19" s="219"/>
      <c r="Q19" s="74"/>
      <c r="R19" s="193">
        <f>+R11-R18</f>
        <v>4655934802</v>
      </c>
    </row>
    <row r="20" spans="1:18" ht="15.75" customHeight="1">
      <c r="A20" s="62">
        <f t="shared" si="2"/>
        <v>12</v>
      </c>
      <c r="B20" s="77" t="s">
        <v>161</v>
      </c>
      <c r="C20" s="77" t="s">
        <v>168</v>
      </c>
      <c r="D20" s="189" t="s">
        <v>111</v>
      </c>
      <c r="E20" s="78">
        <v>1095953586</v>
      </c>
      <c r="F20" s="219"/>
      <c r="G20" s="78">
        <f t="shared" si="3"/>
        <v>19985095887</v>
      </c>
      <c r="I20" s="77" t="str">
        <f t="shared" si="0"/>
        <v>02/12/2025 </v>
      </c>
      <c r="J20" s="78">
        <f t="shared" si="1"/>
        <v>1095953586</v>
      </c>
      <c r="K20" s="231"/>
      <c r="L20" s="78">
        <f t="shared" si="4"/>
        <v>9369802200</v>
      </c>
      <c r="N20" s="77"/>
      <c r="O20" s="178"/>
      <c r="P20" s="219"/>
      <c r="Q20" s="74"/>
      <c r="R20" s="62">
        <v>4441000000</v>
      </c>
    </row>
    <row r="21" spans="1:18" ht="15.75" customHeight="1">
      <c r="A21" s="62">
        <f t="shared" si="2"/>
        <v>13</v>
      </c>
      <c r="B21" s="77" t="s">
        <v>161</v>
      </c>
      <c r="C21" s="77" t="s">
        <v>169</v>
      </c>
      <c r="D21" s="189" t="s">
        <v>112</v>
      </c>
      <c r="E21" s="78">
        <v>1299480</v>
      </c>
      <c r="F21" s="219"/>
      <c r="G21" s="78">
        <f t="shared" si="3"/>
        <v>19983796407</v>
      </c>
      <c r="I21" s="77" t="str">
        <f t="shared" si="0"/>
        <v>03/12/2025 </v>
      </c>
      <c r="J21" s="78">
        <f t="shared" si="1"/>
        <v>1299480</v>
      </c>
      <c r="K21" s="231"/>
      <c r="L21" s="78">
        <f t="shared" si="4"/>
        <v>9368502720</v>
      </c>
      <c r="N21" s="77"/>
      <c r="O21" s="178"/>
      <c r="P21" s="219"/>
      <c r="Q21" s="74"/>
      <c r="R21" s="191">
        <f>+R19-R20</f>
        <v>214934802</v>
      </c>
    </row>
    <row r="22" spans="1:18" ht="15.75" customHeight="1">
      <c r="A22" s="62">
        <f t="shared" si="2"/>
        <v>14</v>
      </c>
      <c r="B22" s="77" t="s">
        <v>161</v>
      </c>
      <c r="C22" s="77" t="s">
        <v>169</v>
      </c>
      <c r="D22" s="189" t="s">
        <v>113</v>
      </c>
      <c r="E22" s="78">
        <v>262400529</v>
      </c>
      <c r="F22" s="219"/>
      <c r="G22" s="78">
        <f>IF(E22=0,0,G21-E22)</f>
        <v>19721395878</v>
      </c>
      <c r="I22" s="77" t="str">
        <f t="shared" si="0"/>
        <v>03/12/2025 </v>
      </c>
      <c r="J22" s="78">
        <f t="shared" si="1"/>
        <v>262400529</v>
      </c>
      <c r="K22" s="231"/>
      <c r="L22" s="78">
        <f t="shared" si="4"/>
        <v>9106102191</v>
      </c>
      <c r="N22" s="77"/>
      <c r="O22" s="178"/>
      <c r="P22" s="219"/>
      <c r="Q22" s="74"/>
    </row>
    <row r="23" spans="1:18" ht="15.75" customHeight="1">
      <c r="A23" s="62">
        <f t="shared" si="2"/>
        <v>15</v>
      </c>
      <c r="B23" s="77" t="s">
        <v>161</v>
      </c>
      <c r="C23" s="77" t="s">
        <v>170</v>
      </c>
      <c r="D23" s="189" t="s">
        <v>114</v>
      </c>
      <c r="E23" s="78">
        <v>1539588229</v>
      </c>
      <c r="F23" s="219"/>
      <c r="G23" s="78">
        <f>IF(E23=0,0,G22+F4-E23)</f>
        <v>19643830247</v>
      </c>
      <c r="I23" s="77" t="str">
        <f t="shared" si="0"/>
        <v>16/01/2026 </v>
      </c>
      <c r="J23" s="78">
        <f t="shared" si="1"/>
        <v>1539588229</v>
      </c>
      <c r="K23" s="231"/>
      <c r="L23" s="78">
        <f t="shared" si="4"/>
        <v>7566513962</v>
      </c>
      <c r="N23" s="77"/>
      <c r="O23" s="178"/>
      <c r="P23" s="219"/>
      <c r="Q23" s="74"/>
    </row>
    <row r="24" spans="1:18" ht="15.75" customHeight="1">
      <c r="A24" s="62">
        <f t="shared" si="2"/>
        <v>16</v>
      </c>
      <c r="B24" s="77" t="s">
        <v>161</v>
      </c>
      <c r="C24" s="77" t="s">
        <v>171</v>
      </c>
      <c r="D24" s="189" t="s">
        <v>115</v>
      </c>
      <c r="E24" s="78">
        <v>105634262</v>
      </c>
      <c r="F24" s="219"/>
      <c r="G24" s="78">
        <f t="shared" si="3"/>
        <v>19538195985</v>
      </c>
      <c r="I24" s="77" t="str">
        <f t="shared" si="0"/>
        <v>19/01/2026 </v>
      </c>
      <c r="J24" s="78">
        <f t="shared" si="1"/>
        <v>105634262</v>
      </c>
      <c r="K24" s="231"/>
      <c r="L24" s="78">
        <f t="shared" si="4"/>
        <v>7460879700</v>
      </c>
      <c r="N24" s="77"/>
      <c r="O24" s="178"/>
      <c r="P24" s="219"/>
      <c r="Q24" s="74"/>
    </row>
    <row r="25" spans="1:18" ht="15.75" customHeight="1">
      <c r="A25" s="62">
        <f t="shared" si="2"/>
        <v>17</v>
      </c>
      <c r="B25" s="77" t="s">
        <v>161</v>
      </c>
      <c r="C25" s="77" t="s">
        <v>171</v>
      </c>
      <c r="D25" s="189" t="s">
        <v>116</v>
      </c>
      <c r="E25" s="78">
        <v>378854365</v>
      </c>
      <c r="F25" s="219"/>
      <c r="G25" s="78">
        <f t="shared" si="3"/>
        <v>19159341620</v>
      </c>
      <c r="I25" s="77" t="str">
        <f t="shared" si="0"/>
        <v>19/01/2026 </v>
      </c>
      <c r="J25" s="78">
        <f t="shared" si="1"/>
        <v>378854365</v>
      </c>
      <c r="K25" s="231"/>
      <c r="L25" s="78">
        <f t="shared" si="4"/>
        <v>7082025335</v>
      </c>
      <c r="N25" s="77"/>
      <c r="O25" s="178"/>
      <c r="P25" s="219"/>
      <c r="Q25" s="74"/>
    </row>
    <row r="26" spans="1:18" ht="15.75" customHeight="1">
      <c r="A26" s="62">
        <f t="shared" si="2"/>
        <v>18</v>
      </c>
      <c r="B26" s="77" t="s">
        <v>161</v>
      </c>
      <c r="C26" s="77" t="s">
        <v>170</v>
      </c>
      <c r="D26" s="189" t="s">
        <v>117</v>
      </c>
      <c r="E26" s="78">
        <v>13650000</v>
      </c>
      <c r="F26" s="219"/>
      <c r="G26" s="78">
        <f t="shared" si="3"/>
        <v>19145691620</v>
      </c>
      <c r="I26" s="77" t="str">
        <f t="shared" si="0"/>
        <v>16/01/2026 </v>
      </c>
      <c r="J26" s="78">
        <f t="shared" si="1"/>
        <v>13650000</v>
      </c>
      <c r="K26" s="231"/>
      <c r="L26" s="78">
        <f t="shared" si="4"/>
        <v>7068375335</v>
      </c>
      <c r="N26" s="77"/>
      <c r="O26" s="178"/>
      <c r="P26" s="219"/>
      <c r="Q26" s="74"/>
    </row>
    <row r="27" spans="1:18" ht="15.75" customHeight="1">
      <c r="A27" s="62">
        <f t="shared" si="2"/>
        <v>19</v>
      </c>
      <c r="B27" s="77" t="s">
        <v>161</v>
      </c>
      <c r="C27" s="77" t="s">
        <v>14</v>
      </c>
      <c r="D27" s="189" t="s">
        <v>118</v>
      </c>
      <c r="E27" s="78">
        <v>1157936725</v>
      </c>
      <c r="F27" s="219"/>
      <c r="G27" s="78">
        <f t="shared" ref="G27:G75" si="5">IF(E27=0,0,G26-E27)</f>
        <v>17987754895</v>
      </c>
      <c r="I27" s="77" t="str">
        <f t="shared" si="0"/>
        <v>10/02/2026 </v>
      </c>
      <c r="J27" s="78">
        <f t="shared" si="1"/>
        <v>1157936725</v>
      </c>
      <c r="K27" s="231"/>
      <c r="L27" s="78">
        <f t="shared" si="4"/>
        <v>5910438610</v>
      </c>
      <c r="N27" s="77"/>
      <c r="O27" s="178"/>
      <c r="P27" s="219"/>
      <c r="Q27" s="74"/>
    </row>
    <row r="28" spans="1:18" ht="15.75" customHeight="1">
      <c r="A28" s="62">
        <f t="shared" si="2"/>
        <v>20</v>
      </c>
      <c r="B28" s="77" t="s">
        <v>161</v>
      </c>
      <c r="C28" s="77" t="s">
        <v>14</v>
      </c>
      <c r="D28" s="189" t="s">
        <v>119</v>
      </c>
      <c r="E28" s="78">
        <v>147868279</v>
      </c>
      <c r="F28" s="219"/>
      <c r="G28" s="78">
        <f t="shared" si="5"/>
        <v>17839886616</v>
      </c>
      <c r="I28" s="77" t="str">
        <f t="shared" si="0"/>
        <v>10/02/2026 </v>
      </c>
      <c r="J28" s="78">
        <f t="shared" si="1"/>
        <v>147868279</v>
      </c>
      <c r="K28" s="231"/>
      <c r="L28" s="78">
        <f t="shared" si="4"/>
        <v>5762570331</v>
      </c>
      <c r="N28" s="77"/>
      <c r="O28" s="178"/>
      <c r="P28" s="219"/>
      <c r="Q28" s="74"/>
    </row>
    <row r="29" spans="1:18" ht="15.75" customHeight="1">
      <c r="A29" s="62">
        <f t="shared" si="2"/>
        <v>21</v>
      </c>
      <c r="B29" s="77" t="s">
        <v>161</v>
      </c>
      <c r="C29" s="77" t="s">
        <v>14</v>
      </c>
      <c r="D29" s="189" t="s">
        <v>120</v>
      </c>
      <c r="E29" s="78">
        <v>13991250</v>
      </c>
      <c r="F29" s="219"/>
      <c r="G29" s="78">
        <f t="shared" si="5"/>
        <v>17825895366</v>
      </c>
      <c r="I29" s="77" t="str">
        <f t="shared" si="0"/>
        <v>10/02/2026 </v>
      </c>
      <c r="J29" s="78">
        <f t="shared" si="1"/>
        <v>13991250</v>
      </c>
      <c r="K29" s="231"/>
      <c r="L29" s="78">
        <f t="shared" si="4"/>
        <v>5748579081</v>
      </c>
      <c r="N29" s="77"/>
      <c r="O29" s="178"/>
      <c r="P29" s="219"/>
      <c r="Q29" s="74"/>
    </row>
    <row r="30" spans="1:18" ht="15.75" customHeight="1">
      <c r="A30" s="62">
        <f t="shared" si="2"/>
        <v>22</v>
      </c>
      <c r="B30" s="77" t="s">
        <v>161</v>
      </c>
      <c r="C30" s="77" t="s">
        <v>122</v>
      </c>
      <c r="D30" s="189" t="s">
        <v>172</v>
      </c>
      <c r="E30" s="78">
        <v>13991250</v>
      </c>
      <c r="F30" s="219"/>
      <c r="G30" s="78">
        <f t="shared" si="5"/>
        <v>17811904116</v>
      </c>
      <c r="I30" s="77" t="str">
        <f t="shared" si="0"/>
        <v>10/03/2026 </v>
      </c>
      <c r="J30" s="78">
        <f t="shared" si="1"/>
        <v>13991250</v>
      </c>
      <c r="K30" s="231"/>
      <c r="L30" s="78">
        <f t="shared" si="4"/>
        <v>5734587831</v>
      </c>
      <c r="N30" s="77"/>
      <c r="O30" s="178"/>
      <c r="P30" s="219"/>
      <c r="Q30" s="74"/>
    </row>
    <row r="31" spans="1:18" ht="15.75" customHeight="1">
      <c r="A31" s="62">
        <f t="shared" si="2"/>
        <v>23</v>
      </c>
      <c r="B31" s="77" t="s">
        <v>161</v>
      </c>
      <c r="C31" s="77" t="s">
        <v>124</v>
      </c>
      <c r="D31" s="189" t="s">
        <v>173</v>
      </c>
      <c r="E31" s="78">
        <v>1331967</v>
      </c>
      <c r="F31" s="219"/>
      <c r="G31" s="78">
        <f>IF(E31=0,0,G30-E31)</f>
        <v>17810572149</v>
      </c>
      <c r="I31" s="77" t="str">
        <f t="shared" si="0"/>
        <v>11/03/2026 </v>
      </c>
      <c r="J31" s="78">
        <f t="shared" si="1"/>
        <v>1331967</v>
      </c>
      <c r="K31" s="231"/>
      <c r="L31" s="78">
        <f t="shared" si="4"/>
        <v>5733255864</v>
      </c>
      <c r="N31" s="77"/>
      <c r="O31" s="178"/>
      <c r="P31" s="219"/>
      <c r="Q31" s="74"/>
    </row>
    <row r="32" spans="1:18" ht="15.75" customHeight="1">
      <c r="A32" s="62">
        <f t="shared" si="2"/>
        <v>24</v>
      </c>
      <c r="B32" s="77" t="s">
        <v>161</v>
      </c>
      <c r="C32" s="77" t="s">
        <v>124</v>
      </c>
      <c r="D32" s="189" t="s">
        <v>174</v>
      </c>
      <c r="E32" s="78">
        <v>370527663</v>
      </c>
      <c r="F32" s="219"/>
      <c r="G32" s="78">
        <f t="shared" si="5"/>
        <v>17440044486</v>
      </c>
      <c r="I32" s="77" t="str">
        <f t="shared" si="0"/>
        <v>11/03/2026 </v>
      </c>
      <c r="J32" s="78">
        <f t="shared" si="1"/>
        <v>370527663</v>
      </c>
      <c r="K32" s="231"/>
      <c r="L32" s="78">
        <f t="shared" si="4"/>
        <v>5362728201</v>
      </c>
      <c r="N32" s="77"/>
      <c r="O32" s="178"/>
      <c r="P32" s="219"/>
      <c r="Q32" s="74"/>
    </row>
    <row r="33" spans="1:17" ht="15.75" customHeight="1">
      <c r="A33" s="62">
        <f t="shared" si="2"/>
        <v>25</v>
      </c>
      <c r="B33" s="77" t="s">
        <v>165</v>
      </c>
      <c r="C33" s="77">
        <v>46128</v>
      </c>
      <c r="D33" s="189" t="s">
        <v>126</v>
      </c>
      <c r="E33" s="78">
        <v>27568325</v>
      </c>
      <c r="F33" s="219"/>
      <c r="G33" s="78">
        <f t="shared" si="5"/>
        <v>17412476161</v>
      </c>
      <c r="I33" s="77">
        <f t="shared" si="0"/>
        <v>46128</v>
      </c>
      <c r="J33" s="78">
        <f t="shared" si="1"/>
        <v>27568325</v>
      </c>
      <c r="K33" s="231"/>
      <c r="L33" s="78">
        <f t="shared" si="4"/>
        <v>5335159876</v>
      </c>
      <c r="N33" s="77"/>
      <c r="O33" s="178"/>
      <c r="P33" s="220"/>
      <c r="Q33" s="74"/>
    </row>
    <row r="34" spans="1:17" ht="15.75" customHeight="1">
      <c r="A34" s="62">
        <f t="shared" si="2"/>
        <v>26</v>
      </c>
      <c r="B34" s="77" t="s">
        <v>161</v>
      </c>
      <c r="C34" s="77">
        <v>46128</v>
      </c>
      <c r="D34" s="189" t="s">
        <v>127</v>
      </c>
      <c r="E34" s="78">
        <v>13991250</v>
      </c>
      <c r="F34" s="219"/>
      <c r="G34" s="78">
        <f t="shared" si="5"/>
        <v>17398484911</v>
      </c>
      <c r="I34" s="77">
        <f t="shared" si="0"/>
        <v>46128</v>
      </c>
      <c r="J34" s="78">
        <f t="shared" si="1"/>
        <v>13991250</v>
      </c>
      <c r="K34" s="231"/>
      <c r="L34" s="78">
        <f t="shared" si="4"/>
        <v>5321168626</v>
      </c>
      <c r="N34" s="176" t="s">
        <v>175</v>
      </c>
      <c r="O34" s="179">
        <f>SUM(O9:O33)</f>
        <v>15367645700</v>
      </c>
      <c r="P34" s="148">
        <f>1-P9</f>
        <v>0.44005585766891708</v>
      </c>
      <c r="Q34" s="79">
        <f>+F81+F83-O34</f>
        <v>12094376898</v>
      </c>
    </row>
    <row r="35" spans="1:17" ht="15.75" customHeight="1">
      <c r="A35" s="62">
        <f t="shared" si="2"/>
        <v>27</v>
      </c>
      <c r="B35" s="77" t="s">
        <v>165</v>
      </c>
      <c r="C35" s="77">
        <v>46129</v>
      </c>
      <c r="D35" s="189" t="s">
        <v>128</v>
      </c>
      <c r="E35" s="78">
        <v>141873578</v>
      </c>
      <c r="F35" s="219"/>
      <c r="G35" s="78">
        <f t="shared" si="5"/>
        <v>17256611333</v>
      </c>
      <c r="I35" s="77">
        <f t="shared" si="0"/>
        <v>46129</v>
      </c>
      <c r="J35" s="78">
        <f t="shared" ref="J35:J47" si="6">+E35</f>
        <v>141873578</v>
      </c>
      <c r="K35" s="231"/>
      <c r="L35" s="78">
        <f t="shared" si="4"/>
        <v>5179295048</v>
      </c>
      <c r="Q35" s="177"/>
    </row>
    <row r="36" spans="1:17">
      <c r="A36" s="62">
        <f t="shared" si="2"/>
        <v>28</v>
      </c>
      <c r="B36" s="77" t="s">
        <v>161</v>
      </c>
      <c r="C36" s="77">
        <v>46129</v>
      </c>
      <c r="D36" s="189" t="s">
        <v>129</v>
      </c>
      <c r="E36" s="78">
        <v>979376728</v>
      </c>
      <c r="F36" s="219"/>
      <c r="G36" s="78">
        <f t="shared" si="5"/>
        <v>16277234605</v>
      </c>
      <c r="I36" s="77">
        <f t="shared" si="0"/>
        <v>46129</v>
      </c>
      <c r="J36" s="78">
        <f t="shared" si="6"/>
        <v>979376728</v>
      </c>
      <c r="K36" s="231"/>
      <c r="L36" s="78">
        <f t="shared" si="4"/>
        <v>4199918320</v>
      </c>
      <c r="O36" s="170">
        <v>1373101130</v>
      </c>
    </row>
    <row r="37" spans="1:17" ht="15.75" customHeight="1">
      <c r="A37" s="62">
        <f t="shared" si="2"/>
        <v>29</v>
      </c>
      <c r="B37" s="77" t="s">
        <v>161</v>
      </c>
      <c r="C37" s="77">
        <v>46129</v>
      </c>
      <c r="D37" s="189" t="s">
        <v>130</v>
      </c>
      <c r="E37" s="78">
        <v>1331967</v>
      </c>
      <c r="F37" s="219"/>
      <c r="G37" s="78">
        <f t="shared" si="5"/>
        <v>16275902638</v>
      </c>
      <c r="I37" s="77">
        <f t="shared" si="0"/>
        <v>46129</v>
      </c>
      <c r="J37" s="78">
        <f t="shared" si="6"/>
        <v>1331967</v>
      </c>
      <c r="K37" s="231"/>
      <c r="L37" s="78">
        <f t="shared" si="4"/>
        <v>4198586353</v>
      </c>
    </row>
    <row r="38" spans="1:17" ht="15.75" customHeight="1">
      <c r="A38" s="62">
        <f t="shared" si="2"/>
        <v>30</v>
      </c>
      <c r="B38" s="77" t="s">
        <v>165</v>
      </c>
      <c r="C38" s="77">
        <v>46183</v>
      </c>
      <c r="D38" s="189" t="s">
        <v>131</v>
      </c>
      <c r="E38" s="78">
        <v>45786710</v>
      </c>
      <c r="F38" s="219"/>
      <c r="G38" s="78">
        <f t="shared" si="5"/>
        <v>16230115928</v>
      </c>
      <c r="I38" s="77">
        <f t="shared" si="0"/>
        <v>46183</v>
      </c>
      <c r="J38" s="78">
        <f t="shared" si="6"/>
        <v>45786710</v>
      </c>
      <c r="K38" s="231"/>
      <c r="L38" s="78">
        <f t="shared" si="4"/>
        <v>4152799643</v>
      </c>
      <c r="O38" s="170">
        <f>+O34+O36</f>
        <v>16740746830</v>
      </c>
    </row>
    <row r="39" spans="1:17" ht="15.75" customHeight="1">
      <c r="A39" s="62">
        <f t="shared" si="2"/>
        <v>31</v>
      </c>
      <c r="B39" s="77" t="s">
        <v>165</v>
      </c>
      <c r="C39" s="77">
        <v>46184</v>
      </c>
      <c r="D39" s="189" t="s">
        <v>132</v>
      </c>
      <c r="E39" s="78">
        <v>16130869</v>
      </c>
      <c r="F39" s="219"/>
      <c r="G39" s="78">
        <f t="shared" si="5"/>
        <v>16213985059</v>
      </c>
      <c r="I39" s="77">
        <f t="shared" si="0"/>
        <v>46184</v>
      </c>
      <c r="J39" s="78">
        <f t="shared" si="6"/>
        <v>16130869</v>
      </c>
      <c r="K39" s="231"/>
      <c r="L39" s="78">
        <f t="shared" si="4"/>
        <v>4136668774</v>
      </c>
      <c r="Q39" s="122">
        <v>98110087</v>
      </c>
    </row>
    <row r="40" spans="1:17" ht="15.75" customHeight="1">
      <c r="A40" s="62">
        <f t="shared" si="2"/>
        <v>32</v>
      </c>
      <c r="B40" s="77" t="s">
        <v>165</v>
      </c>
      <c r="C40" s="77">
        <v>46183</v>
      </c>
      <c r="D40" s="189" t="s">
        <v>133</v>
      </c>
      <c r="E40" s="78">
        <v>48935567</v>
      </c>
      <c r="F40" s="219"/>
      <c r="G40" s="78">
        <f t="shared" si="5"/>
        <v>16165049492</v>
      </c>
      <c r="I40" s="77">
        <f t="shared" si="0"/>
        <v>46183</v>
      </c>
      <c r="J40" s="78">
        <f t="shared" si="6"/>
        <v>48935567</v>
      </c>
      <c r="K40" s="231"/>
      <c r="L40" s="78">
        <f t="shared" si="4"/>
        <v>4087733207</v>
      </c>
      <c r="N40" s="82"/>
      <c r="O40" s="62">
        <v>14721267575</v>
      </c>
      <c r="Q40" s="122">
        <v>164290442</v>
      </c>
    </row>
    <row r="41" spans="1:17">
      <c r="A41" s="62">
        <f t="shared" si="2"/>
        <v>33</v>
      </c>
      <c r="B41" s="77" t="s">
        <v>165</v>
      </c>
      <c r="C41" s="77">
        <v>46184</v>
      </c>
      <c r="D41" s="189" t="s">
        <v>134</v>
      </c>
      <c r="E41" s="78">
        <v>4358895</v>
      </c>
      <c r="F41" s="219"/>
      <c r="G41" s="78">
        <f t="shared" si="5"/>
        <v>16160690597</v>
      </c>
      <c r="I41" s="77">
        <f t="shared" ref="I41:I75" si="7">IF(C41="","",+C41)</f>
        <v>46184</v>
      </c>
      <c r="J41" s="78">
        <f t="shared" si="6"/>
        <v>4358895</v>
      </c>
      <c r="K41" s="231"/>
      <c r="L41" s="78">
        <f t="shared" si="4"/>
        <v>4083374312</v>
      </c>
      <c r="Q41" s="122">
        <f>SUM(Q39:Q40)</f>
        <v>262400529</v>
      </c>
    </row>
    <row r="42" spans="1:17">
      <c r="A42" s="62">
        <f t="shared" si="2"/>
        <v>34</v>
      </c>
      <c r="B42" s="77" t="s">
        <v>161</v>
      </c>
      <c r="C42" s="77">
        <v>46183</v>
      </c>
      <c r="D42" s="189" t="s">
        <v>135</v>
      </c>
      <c r="E42" s="78">
        <v>13991250</v>
      </c>
      <c r="F42" s="219"/>
      <c r="G42" s="78">
        <f t="shared" si="5"/>
        <v>16146699347</v>
      </c>
      <c r="I42" s="77">
        <f t="shared" si="7"/>
        <v>46183</v>
      </c>
      <c r="J42" s="78">
        <f t="shared" si="6"/>
        <v>13991250</v>
      </c>
      <c r="K42" s="231"/>
      <c r="L42" s="78">
        <f t="shared" si="4"/>
        <v>4069383062</v>
      </c>
      <c r="O42" s="76">
        <f>+O40-O34</f>
        <v>-646378125</v>
      </c>
    </row>
    <row r="43" spans="1:17">
      <c r="A43" s="62">
        <f t="shared" si="2"/>
        <v>35</v>
      </c>
      <c r="B43" s="77" t="s">
        <v>161</v>
      </c>
      <c r="C43" s="77">
        <v>46184</v>
      </c>
      <c r="D43" s="189" t="s">
        <v>137</v>
      </c>
      <c r="E43" s="78">
        <v>1801763757</v>
      </c>
      <c r="F43" s="219"/>
      <c r="G43" s="78">
        <f t="shared" si="5"/>
        <v>14344935590</v>
      </c>
      <c r="I43" s="77">
        <f t="shared" si="7"/>
        <v>46184</v>
      </c>
      <c r="J43" s="78">
        <f t="shared" si="6"/>
        <v>1801763757</v>
      </c>
      <c r="K43" s="231"/>
      <c r="L43" s="78">
        <f t="shared" si="4"/>
        <v>2267619305</v>
      </c>
    </row>
    <row r="44" spans="1:17">
      <c r="A44" s="62">
        <f t="shared" si="2"/>
        <v>36</v>
      </c>
      <c r="B44" s="77" t="s">
        <v>161</v>
      </c>
      <c r="C44" s="77">
        <v>46184</v>
      </c>
      <c r="D44" s="189" t="s">
        <v>205</v>
      </c>
      <c r="E44" s="78">
        <v>1331967</v>
      </c>
      <c r="F44" s="219"/>
      <c r="G44" s="78">
        <f t="shared" si="5"/>
        <v>14343603623</v>
      </c>
      <c r="I44" s="77">
        <f t="shared" si="7"/>
        <v>46184</v>
      </c>
      <c r="J44" s="78">
        <f t="shared" si="6"/>
        <v>1331967</v>
      </c>
      <c r="K44" s="231"/>
      <c r="L44" s="78">
        <f t="shared" si="4"/>
        <v>2266287338</v>
      </c>
    </row>
    <row r="45" spans="1:17">
      <c r="A45" s="62">
        <f t="shared" si="2"/>
        <v>37</v>
      </c>
      <c r="B45" s="77" t="s">
        <v>161</v>
      </c>
      <c r="C45" s="77">
        <v>46183</v>
      </c>
      <c r="D45" s="189" t="s">
        <v>138</v>
      </c>
      <c r="E45" s="78">
        <v>13991250</v>
      </c>
      <c r="F45" s="219"/>
      <c r="G45" s="78">
        <f t="shared" si="5"/>
        <v>14329612373</v>
      </c>
      <c r="I45" s="77">
        <f t="shared" si="7"/>
        <v>46183</v>
      </c>
      <c r="J45" s="78">
        <f t="shared" si="6"/>
        <v>13991250</v>
      </c>
      <c r="K45" s="231"/>
      <c r="L45" s="78">
        <f t="shared" si="4"/>
        <v>2252296088</v>
      </c>
      <c r="O45" s="76">
        <f>+O42-E48</f>
        <v>-680694000</v>
      </c>
    </row>
    <row r="46" spans="1:17">
      <c r="A46" s="62">
        <f t="shared" si="2"/>
        <v>38</v>
      </c>
      <c r="B46" s="77" t="s">
        <v>161</v>
      </c>
      <c r="C46" s="77">
        <v>46184</v>
      </c>
      <c r="D46" s="189" t="s">
        <v>139</v>
      </c>
      <c r="E46" s="78">
        <v>511655007</v>
      </c>
      <c r="F46" s="219"/>
      <c r="G46" s="78">
        <f t="shared" si="5"/>
        <v>13817957366</v>
      </c>
      <c r="I46" s="77">
        <f t="shared" si="7"/>
        <v>46184</v>
      </c>
      <c r="J46" s="78">
        <f t="shared" si="6"/>
        <v>511655007</v>
      </c>
      <c r="K46" s="231"/>
      <c r="L46" s="78">
        <f t="shared" si="4"/>
        <v>1740641081</v>
      </c>
    </row>
    <row r="47" spans="1:17">
      <c r="A47" s="62">
        <f t="shared" si="2"/>
        <v>39</v>
      </c>
      <c r="B47" s="77" t="s">
        <v>161</v>
      </c>
      <c r="C47" s="77">
        <v>46184</v>
      </c>
      <c r="D47" s="189" t="s">
        <v>140</v>
      </c>
      <c r="E47" s="78">
        <v>1331967</v>
      </c>
      <c r="F47" s="219"/>
      <c r="G47" s="78">
        <f t="shared" si="5"/>
        <v>13816625399</v>
      </c>
      <c r="I47" s="77">
        <f t="shared" si="7"/>
        <v>46184</v>
      </c>
      <c r="J47" s="78">
        <f t="shared" si="6"/>
        <v>1331967</v>
      </c>
      <c r="K47" s="231"/>
      <c r="L47" s="78">
        <f t="shared" si="4"/>
        <v>1739309114</v>
      </c>
    </row>
    <row r="48" spans="1:17">
      <c r="A48" s="62">
        <f t="shared" si="2"/>
        <v>40</v>
      </c>
      <c r="B48" s="77" t="s">
        <v>165</v>
      </c>
      <c r="C48" s="77">
        <v>46209</v>
      </c>
      <c r="D48" s="189" t="s">
        <v>141</v>
      </c>
      <c r="E48" s="78">
        <v>34315875</v>
      </c>
      <c r="F48" s="219"/>
      <c r="G48" s="78">
        <f t="shared" si="5"/>
        <v>13782309524</v>
      </c>
      <c r="I48" s="77">
        <f t="shared" si="7"/>
        <v>46209</v>
      </c>
      <c r="J48" s="78">
        <f>IF(E48=0,0,E48)</f>
        <v>34315875</v>
      </c>
      <c r="K48" s="231"/>
      <c r="L48" s="78">
        <f t="shared" si="4"/>
        <v>1704993239</v>
      </c>
    </row>
    <row r="49" spans="1:15">
      <c r="A49" s="62">
        <f t="shared" si="2"/>
        <v>41</v>
      </c>
      <c r="B49" s="77" t="s">
        <v>165</v>
      </c>
      <c r="C49" s="77">
        <v>46210</v>
      </c>
      <c r="D49" s="189" t="s">
        <v>142</v>
      </c>
      <c r="E49" s="78">
        <v>4658666</v>
      </c>
      <c r="F49" s="219"/>
      <c r="G49" s="78">
        <f t="shared" si="5"/>
        <v>13777650858</v>
      </c>
      <c r="I49" s="77">
        <f t="shared" si="7"/>
        <v>46210</v>
      </c>
      <c r="J49" s="78">
        <f t="shared" ref="J49:J75" si="8">IF(E49=0,0,E49)</f>
        <v>4658666</v>
      </c>
      <c r="K49" s="231"/>
      <c r="L49" s="78">
        <f t="shared" si="4"/>
        <v>1700334573</v>
      </c>
    </row>
    <row r="50" spans="1:15">
      <c r="A50" s="62">
        <f t="shared" si="2"/>
        <v>42</v>
      </c>
      <c r="B50" s="77" t="s">
        <v>161</v>
      </c>
      <c r="C50" s="77">
        <v>46209</v>
      </c>
      <c r="D50" s="77" t="s">
        <v>143</v>
      </c>
      <c r="E50" s="78">
        <v>13991250</v>
      </c>
      <c r="F50" s="219"/>
      <c r="G50" s="78">
        <f t="shared" si="5"/>
        <v>13763659608</v>
      </c>
      <c r="I50" s="77">
        <f t="shared" si="7"/>
        <v>46209</v>
      </c>
      <c r="J50" s="78">
        <f t="shared" si="8"/>
        <v>13991250</v>
      </c>
      <c r="K50" s="231"/>
      <c r="L50" s="78">
        <f t="shared" si="4"/>
        <v>1686343323</v>
      </c>
    </row>
    <row r="51" spans="1:15">
      <c r="A51" s="62">
        <f t="shared" si="2"/>
        <v>43</v>
      </c>
      <c r="B51" s="77" t="s">
        <v>161</v>
      </c>
      <c r="C51" s="77">
        <v>46210</v>
      </c>
      <c r="D51" s="77" t="s">
        <v>144</v>
      </c>
      <c r="E51" s="78">
        <v>511655007</v>
      </c>
      <c r="F51" s="219"/>
      <c r="G51" s="78">
        <f t="shared" si="5"/>
        <v>13252004601</v>
      </c>
      <c r="I51" s="77">
        <f t="shared" si="7"/>
        <v>46210</v>
      </c>
      <c r="J51" s="78">
        <f t="shared" si="8"/>
        <v>511655007</v>
      </c>
      <c r="K51" s="231"/>
      <c r="L51" s="78">
        <f t="shared" si="4"/>
        <v>1174688316</v>
      </c>
      <c r="O51" s="76"/>
    </row>
    <row r="52" spans="1:15">
      <c r="A52" s="62">
        <f t="shared" si="2"/>
        <v>44</v>
      </c>
      <c r="B52" s="77" t="s">
        <v>161</v>
      </c>
      <c r="C52" s="77">
        <v>46210</v>
      </c>
      <c r="D52" s="77" t="s">
        <v>145</v>
      </c>
      <c r="E52" s="78">
        <v>1331967</v>
      </c>
      <c r="F52" s="219"/>
      <c r="G52" s="78">
        <f t="shared" si="5"/>
        <v>13250672634</v>
      </c>
      <c r="I52" s="77">
        <f t="shared" si="7"/>
        <v>46210</v>
      </c>
      <c r="J52" s="78">
        <f t="shared" si="8"/>
        <v>1331967</v>
      </c>
      <c r="K52" s="231"/>
      <c r="L52" s="78">
        <f t="shared" si="4"/>
        <v>1173356349</v>
      </c>
      <c r="N52" s="183">
        <f>+SUMIF(B9:B75,"CAS",E9:E75)</f>
        <v>14551445301</v>
      </c>
    </row>
    <row r="53" spans="1:15">
      <c r="A53" s="62">
        <f t="shared" si="2"/>
        <v>45</v>
      </c>
      <c r="B53" s="77" t="s">
        <v>165</v>
      </c>
      <c r="C53" s="77">
        <v>46245</v>
      </c>
      <c r="D53" s="77" t="s">
        <v>176</v>
      </c>
      <c r="E53" s="78">
        <v>27568325</v>
      </c>
      <c r="F53" s="219"/>
      <c r="G53" s="78">
        <f t="shared" si="5"/>
        <v>13223104309</v>
      </c>
      <c r="I53" s="77">
        <f t="shared" si="7"/>
        <v>46245</v>
      </c>
      <c r="J53" s="78">
        <f t="shared" si="8"/>
        <v>27568325</v>
      </c>
      <c r="K53" s="231"/>
      <c r="L53" s="78">
        <f t="shared" si="4"/>
        <v>1145788024</v>
      </c>
      <c r="N53" s="183">
        <f>+SUMIF(B9:B75,"Crue",E9:E75)</f>
        <v>354463681</v>
      </c>
    </row>
    <row r="54" spans="1:15">
      <c r="A54" s="62">
        <f t="shared" si="2"/>
        <v>46</v>
      </c>
      <c r="B54" s="77" t="s">
        <v>165</v>
      </c>
      <c r="C54" s="77">
        <v>46246</v>
      </c>
      <c r="D54" s="77" t="s">
        <v>177</v>
      </c>
      <c r="E54" s="78">
        <v>3266871</v>
      </c>
      <c r="F54" s="219"/>
      <c r="G54" s="78">
        <f t="shared" si="5"/>
        <v>13219837438</v>
      </c>
      <c r="I54" s="77">
        <f t="shared" si="7"/>
        <v>46246</v>
      </c>
      <c r="J54" s="78">
        <f t="shared" si="8"/>
        <v>3266871</v>
      </c>
      <c r="K54" s="231"/>
      <c r="L54" s="78">
        <f t="shared" si="4"/>
        <v>1142521153</v>
      </c>
    </row>
    <row r="55" spans="1:15">
      <c r="A55" s="188">
        <f t="shared" si="2"/>
        <v>47</v>
      </c>
      <c r="B55" s="77" t="s">
        <v>161</v>
      </c>
      <c r="C55" s="77">
        <v>46247</v>
      </c>
      <c r="D55" s="77" t="s">
        <v>178</v>
      </c>
      <c r="E55" s="78">
        <v>13991250</v>
      </c>
      <c r="F55" s="219"/>
      <c r="G55" s="78">
        <f t="shared" si="5"/>
        <v>13205846188</v>
      </c>
      <c r="I55" s="77">
        <f t="shared" si="7"/>
        <v>46247</v>
      </c>
      <c r="J55" s="78">
        <f t="shared" si="8"/>
        <v>13991250</v>
      </c>
      <c r="K55" s="231"/>
      <c r="L55" s="78">
        <f t="shared" si="4"/>
        <v>1128529903</v>
      </c>
    </row>
    <row r="56" spans="1:15">
      <c r="A56" s="188">
        <f t="shared" si="2"/>
        <v>48</v>
      </c>
      <c r="B56" s="77" t="s">
        <v>161</v>
      </c>
      <c r="C56" s="77">
        <v>46248</v>
      </c>
      <c r="D56" s="77" t="s">
        <v>179</v>
      </c>
      <c r="E56" s="78">
        <v>1331967</v>
      </c>
      <c r="F56" s="219"/>
      <c r="G56" s="78">
        <f t="shared" si="5"/>
        <v>13204514221</v>
      </c>
      <c r="I56" s="77">
        <f t="shared" si="7"/>
        <v>46248</v>
      </c>
      <c r="J56" s="78">
        <f t="shared" si="8"/>
        <v>1331967</v>
      </c>
      <c r="K56" s="231"/>
      <c r="L56" s="78">
        <f t="shared" si="4"/>
        <v>1127197936</v>
      </c>
    </row>
    <row r="57" spans="1:15">
      <c r="A57" s="188">
        <f t="shared" si="2"/>
        <v>49</v>
      </c>
      <c r="B57" s="77" t="s">
        <v>161</v>
      </c>
      <c r="C57" s="77">
        <v>46248</v>
      </c>
      <c r="D57" s="77" t="s">
        <v>179</v>
      </c>
      <c r="E57" s="78">
        <v>665461218</v>
      </c>
      <c r="F57" s="219"/>
      <c r="G57" s="78">
        <f t="shared" si="5"/>
        <v>12539053003</v>
      </c>
      <c r="I57" s="77">
        <f t="shared" si="7"/>
        <v>46248</v>
      </c>
      <c r="J57" s="78">
        <f t="shared" si="8"/>
        <v>665461218</v>
      </c>
      <c r="K57" s="231"/>
      <c r="L57" s="78">
        <f t="shared" si="4"/>
        <v>461736718</v>
      </c>
    </row>
    <row r="58" spans="1:15">
      <c r="A58" s="188" t="str">
        <f t="shared" si="2"/>
        <v/>
      </c>
      <c r="B58" s="77"/>
      <c r="D58" s="77"/>
      <c r="E58" s="78"/>
      <c r="F58" s="219"/>
      <c r="G58" s="78">
        <f t="shared" si="5"/>
        <v>0</v>
      </c>
      <c r="I58" s="77" t="str">
        <f t="shared" si="7"/>
        <v/>
      </c>
      <c r="J58" s="78">
        <f t="shared" si="8"/>
        <v>0</v>
      </c>
      <c r="K58" s="231"/>
      <c r="L58" s="78" t="str">
        <f t="shared" si="4"/>
        <v/>
      </c>
    </row>
    <row r="59" spans="1:15">
      <c r="A59" s="188" t="str">
        <f t="shared" si="2"/>
        <v/>
      </c>
      <c r="B59" s="77"/>
      <c r="C59" s="77"/>
      <c r="D59" s="77"/>
      <c r="E59" s="78"/>
      <c r="F59" s="219"/>
      <c r="G59" s="78">
        <f t="shared" si="5"/>
        <v>0</v>
      </c>
      <c r="I59" s="77" t="str">
        <f t="shared" si="7"/>
        <v/>
      </c>
      <c r="J59" s="78">
        <f t="shared" si="8"/>
        <v>0</v>
      </c>
      <c r="K59" s="231"/>
      <c r="L59" s="78" t="str">
        <f t="shared" si="4"/>
        <v/>
      </c>
    </row>
    <row r="60" spans="1:15">
      <c r="A60" s="188" t="str">
        <f t="shared" si="2"/>
        <v/>
      </c>
      <c r="B60" s="77"/>
      <c r="D60" s="77"/>
      <c r="E60" s="78"/>
      <c r="F60" s="219"/>
      <c r="G60" s="78">
        <f t="shared" si="5"/>
        <v>0</v>
      </c>
      <c r="I60" s="77" t="str">
        <f t="shared" si="7"/>
        <v/>
      </c>
      <c r="J60" s="78">
        <f t="shared" si="8"/>
        <v>0</v>
      </c>
      <c r="K60" s="231"/>
      <c r="L60" s="78" t="str">
        <f t="shared" si="4"/>
        <v/>
      </c>
    </row>
    <row r="61" spans="1:15">
      <c r="A61" s="62" t="str">
        <f t="shared" si="2"/>
        <v/>
      </c>
      <c r="B61" s="77"/>
      <c r="C61" s="77"/>
      <c r="D61" s="77"/>
      <c r="E61" s="78"/>
      <c r="F61" s="219"/>
      <c r="G61" s="78">
        <f t="shared" si="5"/>
        <v>0</v>
      </c>
      <c r="I61" s="77" t="str">
        <f t="shared" si="7"/>
        <v/>
      </c>
      <c r="J61" s="78">
        <f t="shared" si="8"/>
        <v>0</v>
      </c>
      <c r="K61" s="231"/>
      <c r="L61" s="78" t="str">
        <f t="shared" si="4"/>
        <v/>
      </c>
    </row>
    <row r="62" spans="1:15">
      <c r="A62" s="62" t="str">
        <f t="shared" si="2"/>
        <v/>
      </c>
      <c r="B62" s="77"/>
      <c r="C62" s="77"/>
      <c r="D62" s="77"/>
      <c r="E62" s="78"/>
      <c r="F62" s="219"/>
      <c r="G62" s="78">
        <f t="shared" si="5"/>
        <v>0</v>
      </c>
      <c r="I62" s="77" t="str">
        <f t="shared" si="7"/>
        <v/>
      </c>
      <c r="J62" s="78">
        <f t="shared" si="8"/>
        <v>0</v>
      </c>
      <c r="K62" s="231"/>
      <c r="L62" s="78" t="str">
        <f t="shared" si="4"/>
        <v/>
      </c>
    </row>
    <row r="63" spans="1:15">
      <c r="A63" s="62" t="str">
        <f t="shared" si="2"/>
        <v/>
      </c>
      <c r="B63" s="77"/>
      <c r="C63" s="77"/>
      <c r="D63" s="77"/>
      <c r="E63" s="78"/>
      <c r="F63" s="219"/>
      <c r="G63" s="78">
        <f t="shared" si="5"/>
        <v>0</v>
      </c>
      <c r="I63" s="77" t="str">
        <f t="shared" si="7"/>
        <v/>
      </c>
      <c r="J63" s="78">
        <f t="shared" si="8"/>
        <v>0</v>
      </c>
      <c r="K63" s="231"/>
      <c r="L63" s="78" t="str">
        <f t="shared" si="4"/>
        <v/>
      </c>
    </row>
    <row r="64" spans="1:15">
      <c r="A64" s="62" t="str">
        <f t="shared" si="2"/>
        <v/>
      </c>
      <c r="B64" s="77"/>
      <c r="C64" s="77"/>
      <c r="D64" s="77"/>
      <c r="E64" s="78"/>
      <c r="F64" s="219"/>
      <c r="G64" s="78">
        <f t="shared" si="5"/>
        <v>0</v>
      </c>
      <c r="I64" s="77" t="str">
        <f t="shared" si="7"/>
        <v/>
      </c>
      <c r="J64" s="78">
        <f t="shared" si="8"/>
        <v>0</v>
      </c>
      <c r="K64" s="231"/>
      <c r="L64" s="78" t="str">
        <f t="shared" si="4"/>
        <v/>
      </c>
    </row>
    <row r="65" spans="1:17">
      <c r="A65" s="62" t="str">
        <f t="shared" si="2"/>
        <v/>
      </c>
      <c r="B65" s="77"/>
      <c r="C65" s="77"/>
      <c r="D65" s="77"/>
      <c r="E65" s="78"/>
      <c r="F65" s="219"/>
      <c r="G65" s="78">
        <f t="shared" si="5"/>
        <v>0</v>
      </c>
      <c r="I65" s="77" t="str">
        <f t="shared" si="7"/>
        <v/>
      </c>
      <c r="J65" s="78">
        <f t="shared" si="8"/>
        <v>0</v>
      </c>
      <c r="K65" s="231"/>
      <c r="L65" s="78" t="str">
        <f t="shared" si="4"/>
        <v/>
      </c>
    </row>
    <row r="66" spans="1:17">
      <c r="A66" s="62" t="str">
        <f t="shared" si="2"/>
        <v/>
      </c>
      <c r="B66" s="77"/>
      <c r="C66" s="77"/>
      <c r="D66" s="77"/>
      <c r="E66" s="78"/>
      <c r="F66" s="219"/>
      <c r="G66" s="78">
        <f t="shared" si="5"/>
        <v>0</v>
      </c>
      <c r="I66" s="77" t="str">
        <f t="shared" si="7"/>
        <v/>
      </c>
      <c r="J66" s="78">
        <f t="shared" si="8"/>
        <v>0</v>
      </c>
      <c r="K66" s="231"/>
      <c r="L66" s="78" t="str">
        <f t="shared" si="4"/>
        <v/>
      </c>
    </row>
    <row r="67" spans="1:17">
      <c r="A67" s="62" t="str">
        <f t="shared" si="2"/>
        <v/>
      </c>
      <c r="B67" s="77"/>
      <c r="C67" s="77"/>
      <c r="D67" s="77"/>
      <c r="E67" s="78"/>
      <c r="F67" s="219"/>
      <c r="G67" s="78">
        <f t="shared" si="5"/>
        <v>0</v>
      </c>
      <c r="I67" s="77" t="str">
        <f t="shared" si="7"/>
        <v/>
      </c>
      <c r="J67" s="78">
        <f t="shared" si="8"/>
        <v>0</v>
      </c>
      <c r="K67" s="231"/>
      <c r="L67" s="78" t="str">
        <f t="shared" si="4"/>
        <v/>
      </c>
    </row>
    <row r="68" spans="1:17">
      <c r="A68" s="62" t="str">
        <f t="shared" si="2"/>
        <v/>
      </c>
      <c r="B68" s="77"/>
      <c r="C68" s="77"/>
      <c r="D68" s="77"/>
      <c r="E68" s="78"/>
      <c r="F68" s="219"/>
      <c r="G68" s="78">
        <f t="shared" si="5"/>
        <v>0</v>
      </c>
      <c r="I68" s="77" t="str">
        <f t="shared" si="7"/>
        <v/>
      </c>
      <c r="J68" s="78">
        <f t="shared" si="8"/>
        <v>0</v>
      </c>
      <c r="K68" s="231"/>
      <c r="L68" s="78" t="str">
        <f t="shared" si="4"/>
        <v/>
      </c>
    </row>
    <row r="69" spans="1:17">
      <c r="A69" s="62" t="str">
        <f t="shared" si="2"/>
        <v/>
      </c>
      <c r="B69" s="77"/>
      <c r="C69" s="77"/>
      <c r="D69" s="77"/>
      <c r="E69" s="78"/>
      <c r="F69" s="219"/>
      <c r="G69" s="78">
        <f t="shared" si="5"/>
        <v>0</v>
      </c>
      <c r="I69" s="77" t="str">
        <f t="shared" si="7"/>
        <v/>
      </c>
      <c r="J69" s="78">
        <f t="shared" si="8"/>
        <v>0</v>
      </c>
      <c r="K69" s="231"/>
      <c r="L69" s="78" t="str">
        <f t="shared" si="4"/>
        <v/>
      </c>
    </row>
    <row r="70" spans="1:17">
      <c r="A70" s="62" t="str">
        <f t="shared" si="2"/>
        <v/>
      </c>
      <c r="B70" s="77"/>
      <c r="C70" s="77"/>
      <c r="D70" s="77"/>
      <c r="E70" s="78"/>
      <c r="F70" s="219"/>
      <c r="G70" s="78">
        <f t="shared" si="5"/>
        <v>0</v>
      </c>
      <c r="I70" s="77" t="str">
        <f t="shared" si="7"/>
        <v/>
      </c>
      <c r="J70" s="78">
        <f t="shared" si="8"/>
        <v>0</v>
      </c>
      <c r="K70" s="231"/>
      <c r="L70" s="78" t="str">
        <f t="shared" si="4"/>
        <v/>
      </c>
    </row>
    <row r="71" spans="1:17">
      <c r="A71" s="62" t="str">
        <f t="shared" si="2"/>
        <v/>
      </c>
      <c r="B71" s="77"/>
      <c r="C71" s="77"/>
      <c r="D71" s="77"/>
      <c r="E71" s="78"/>
      <c r="F71" s="219"/>
      <c r="G71" s="78">
        <f t="shared" si="5"/>
        <v>0</v>
      </c>
      <c r="I71" s="77" t="str">
        <f t="shared" si="7"/>
        <v/>
      </c>
      <c r="J71" s="78">
        <f t="shared" si="8"/>
        <v>0</v>
      </c>
      <c r="K71" s="231"/>
      <c r="L71" s="78" t="str">
        <f t="shared" si="4"/>
        <v/>
      </c>
    </row>
    <row r="72" spans="1:17">
      <c r="A72" s="62" t="str">
        <f t="shared" si="2"/>
        <v/>
      </c>
      <c r="B72" s="77"/>
      <c r="C72" s="77"/>
      <c r="D72" s="77"/>
      <c r="E72" s="78"/>
      <c r="F72" s="219"/>
      <c r="G72" s="78">
        <f t="shared" si="5"/>
        <v>0</v>
      </c>
      <c r="I72" s="77" t="str">
        <f t="shared" si="7"/>
        <v/>
      </c>
      <c r="J72" s="78">
        <f t="shared" si="8"/>
        <v>0</v>
      </c>
      <c r="K72" s="231"/>
      <c r="L72" s="78" t="str">
        <f t="shared" si="4"/>
        <v/>
      </c>
    </row>
    <row r="73" spans="1:17">
      <c r="A73" s="62" t="str">
        <f t="shared" si="2"/>
        <v/>
      </c>
      <c r="B73" s="77"/>
      <c r="C73" s="77"/>
      <c r="D73" s="77"/>
      <c r="E73" s="78"/>
      <c r="F73" s="219"/>
      <c r="G73" s="78">
        <f t="shared" si="5"/>
        <v>0</v>
      </c>
      <c r="I73" s="77" t="str">
        <f t="shared" si="7"/>
        <v/>
      </c>
      <c r="J73" s="78">
        <f t="shared" si="8"/>
        <v>0</v>
      </c>
      <c r="K73" s="231"/>
      <c r="L73" s="78" t="str">
        <f t="shared" si="4"/>
        <v/>
      </c>
    </row>
    <row r="74" spans="1:17">
      <c r="A74" s="62" t="str">
        <f t="shared" ref="A74:A75" si="9">IF(C74="","",ROW()-8)</f>
        <v/>
      </c>
      <c r="B74" s="77"/>
      <c r="C74" s="77"/>
      <c r="D74" s="77"/>
      <c r="E74" s="78"/>
      <c r="F74" s="219"/>
      <c r="G74" s="78">
        <f t="shared" si="5"/>
        <v>0</v>
      </c>
      <c r="I74" s="77" t="str">
        <f t="shared" si="7"/>
        <v/>
      </c>
      <c r="J74" s="78">
        <f t="shared" si="8"/>
        <v>0</v>
      </c>
      <c r="K74" s="231"/>
      <c r="L74" s="78" t="str">
        <f t="shared" si="4"/>
        <v/>
      </c>
    </row>
    <row r="75" spans="1:17" s="120" customFormat="1" ht="15.75">
      <c r="A75" s="62" t="str">
        <f t="shared" si="9"/>
        <v/>
      </c>
      <c r="B75" s="77"/>
      <c r="C75" s="77"/>
      <c r="D75" s="77"/>
      <c r="E75" s="78"/>
      <c r="F75" s="220"/>
      <c r="G75" s="78">
        <f t="shared" si="5"/>
        <v>0</v>
      </c>
      <c r="I75" s="77" t="str">
        <f t="shared" si="7"/>
        <v/>
      </c>
      <c r="J75" s="78">
        <f t="shared" si="8"/>
        <v>0</v>
      </c>
      <c r="K75" s="232"/>
      <c r="L75" s="78" t="str">
        <f t="shared" ref="L75" si="10">IF(J75=0,"",L74-J75)</f>
        <v/>
      </c>
      <c r="Q75" s="123"/>
    </row>
    <row r="76" spans="1:17" ht="15.75">
      <c r="B76" s="249" t="s">
        <v>180</v>
      </c>
      <c r="C76" s="250"/>
      <c r="D76" s="251"/>
      <c r="E76" s="146">
        <f>SUM(E9:E75)</f>
        <v>14905908982</v>
      </c>
      <c r="F76" s="148">
        <f>1-F9</f>
        <v>0.45687995523015112</v>
      </c>
      <c r="G76" s="147">
        <f>+F7-E76</f>
        <v>12539053003</v>
      </c>
      <c r="I76" s="145" t="s">
        <v>180</v>
      </c>
      <c r="J76" s="146">
        <f>SUM(J9:J75)</f>
        <v>14905908982</v>
      </c>
      <c r="K76" s="158">
        <f>1-K9</f>
        <v>3.0046028325600993E-2</v>
      </c>
      <c r="L76" s="147">
        <f>+F7-J76</f>
        <v>12539053003</v>
      </c>
    </row>
    <row r="77" spans="1:17">
      <c r="E77" s="62"/>
    </row>
    <row r="78" spans="1:17">
      <c r="E78" s="62"/>
    </row>
    <row r="79" spans="1:17">
      <c r="E79" s="62"/>
    </row>
    <row r="80" spans="1:17">
      <c r="B80" s="74" t="s">
        <v>2</v>
      </c>
      <c r="C80" s="174"/>
      <c r="D80" s="174"/>
      <c r="E80" s="247" t="s">
        <v>181</v>
      </c>
      <c r="F80" s="248"/>
      <c r="G80" s="74" t="s">
        <v>159</v>
      </c>
      <c r="I80" s="165"/>
      <c r="J80" s="165"/>
      <c r="K80" s="165"/>
      <c r="L80" s="165"/>
    </row>
    <row r="81" spans="2:12">
      <c r="B81" s="206">
        <v>45757</v>
      </c>
      <c r="C81" s="212"/>
      <c r="D81" s="212"/>
      <c r="E81" s="207"/>
      <c r="F81" s="213">
        <v>26000000000</v>
      </c>
      <c r="G81" s="214"/>
      <c r="I81" s="165"/>
      <c r="J81" s="165"/>
      <c r="K81" s="165"/>
      <c r="L81" s="165"/>
    </row>
    <row r="82" spans="2:12">
      <c r="B82" s="206">
        <v>46020</v>
      </c>
      <c r="C82" s="212"/>
      <c r="D82" s="212"/>
      <c r="E82" s="207"/>
      <c r="F82" s="213">
        <v>1300000000</v>
      </c>
      <c r="G82" s="214"/>
      <c r="I82" s="165"/>
      <c r="J82" s="165"/>
      <c r="K82" s="165"/>
      <c r="L82" s="165"/>
    </row>
    <row r="83" spans="2:12">
      <c r="B83" s="206">
        <v>46020</v>
      </c>
      <c r="C83" s="212"/>
      <c r="D83" s="212"/>
      <c r="E83" s="207"/>
      <c r="F83" s="213">
        <v>1462022598</v>
      </c>
      <c r="G83" s="214"/>
      <c r="I83" s="165"/>
      <c r="J83" s="165"/>
      <c r="K83" s="165"/>
      <c r="L83" s="165"/>
    </row>
    <row r="84" spans="2:12">
      <c r="B84" s="206" t="s">
        <v>182</v>
      </c>
      <c r="C84" s="212"/>
      <c r="D84" s="212"/>
      <c r="E84" s="207"/>
      <c r="F84" s="213">
        <v>73101130</v>
      </c>
      <c r="G84" s="214"/>
      <c r="I84" s="165"/>
      <c r="J84" s="165"/>
      <c r="K84" s="165"/>
      <c r="L84" s="165"/>
    </row>
    <row r="85" spans="2:12">
      <c r="B85" s="206"/>
      <c r="C85" s="212"/>
      <c r="D85" s="212"/>
      <c r="E85" s="207"/>
      <c r="F85" s="210"/>
      <c r="G85" s="211"/>
      <c r="I85" s="165"/>
      <c r="J85" s="165"/>
      <c r="K85" s="165"/>
      <c r="L85" s="165"/>
    </row>
    <row r="86" spans="2:12">
      <c r="B86" s="206"/>
      <c r="C86" s="212"/>
      <c r="D86" s="212"/>
      <c r="E86" s="207"/>
      <c r="F86" s="210"/>
      <c r="G86" s="211"/>
      <c r="I86" s="165"/>
      <c r="J86" s="165"/>
      <c r="K86" s="165"/>
      <c r="L86" s="165"/>
    </row>
    <row r="87" spans="2:12">
      <c r="B87" s="227" t="s">
        <v>183</v>
      </c>
      <c r="C87" s="228"/>
      <c r="D87" s="228"/>
      <c r="E87" s="229"/>
      <c r="F87" s="225">
        <f>SUM(F81:G86)</f>
        <v>28835123728</v>
      </c>
      <c r="G87" s="226"/>
      <c r="I87" s="165"/>
      <c r="J87" s="165"/>
      <c r="K87" s="165"/>
      <c r="L87" s="165"/>
    </row>
    <row r="88" spans="2:12">
      <c r="B88" s="121" t="s">
        <v>184</v>
      </c>
      <c r="C88" s="208" t="s">
        <v>151</v>
      </c>
      <c r="D88" s="209"/>
      <c r="E88" s="208" t="s">
        <v>185</v>
      </c>
      <c r="F88" s="209"/>
      <c r="G88" s="121" t="s">
        <v>186</v>
      </c>
      <c r="I88" s="165"/>
      <c r="J88" s="165"/>
      <c r="K88" s="165"/>
      <c r="L88" s="165"/>
    </row>
    <row r="89" spans="2:12">
      <c r="B89" s="155">
        <v>45594</v>
      </c>
      <c r="C89" s="206" t="s">
        <v>153</v>
      </c>
      <c r="D89" s="207"/>
      <c r="E89" s="119">
        <v>5000000000</v>
      </c>
      <c r="F89" s="215">
        <f>SUM(E89:E114)/$F$87</f>
        <v>0.53916798033029756</v>
      </c>
      <c r="G89" s="119">
        <f>IF(E89=0,0,F87-E89)</f>
        <v>23835123728</v>
      </c>
      <c r="I89" s="165"/>
      <c r="J89" s="165"/>
      <c r="K89" s="165"/>
      <c r="L89" s="165"/>
    </row>
    <row r="90" spans="2:12">
      <c r="B90" s="154">
        <v>45595</v>
      </c>
      <c r="C90" s="206" t="s">
        <v>187</v>
      </c>
      <c r="D90" s="207"/>
      <c r="E90" s="78">
        <v>1300000000</v>
      </c>
      <c r="F90" s="216"/>
      <c r="G90" s="119">
        <f>IF(E89=0,0,G89-E90)</f>
        <v>22535123728</v>
      </c>
      <c r="I90" s="165"/>
      <c r="J90" s="165"/>
      <c r="K90" s="165"/>
      <c r="L90" s="165"/>
    </row>
    <row r="91" spans="2:12">
      <c r="B91" s="154">
        <v>46001</v>
      </c>
      <c r="C91" s="206" t="s">
        <v>153</v>
      </c>
      <c r="D91" s="207"/>
      <c r="E91" s="78">
        <v>6000000000</v>
      </c>
      <c r="F91" s="216"/>
      <c r="G91" s="119">
        <f t="shared" ref="G91:G114" si="11">IF(E90=0,0,G90-E91)</f>
        <v>16535123728</v>
      </c>
      <c r="I91" s="165"/>
      <c r="J91" s="165"/>
      <c r="K91" s="165"/>
      <c r="L91" s="165"/>
    </row>
    <row r="92" spans="2:12">
      <c r="B92" s="154">
        <v>46020</v>
      </c>
      <c r="C92" s="206" t="s">
        <v>187</v>
      </c>
      <c r="D92" s="207"/>
      <c r="E92" s="78">
        <v>73101130</v>
      </c>
      <c r="F92" s="216"/>
      <c r="G92" s="119">
        <f t="shared" si="11"/>
        <v>16462022598</v>
      </c>
      <c r="I92" s="165"/>
      <c r="J92" s="165"/>
      <c r="K92" s="165"/>
      <c r="L92" s="165"/>
    </row>
    <row r="93" spans="2:12">
      <c r="B93" s="154">
        <v>46044</v>
      </c>
      <c r="C93" s="206" t="s">
        <v>154</v>
      </c>
      <c r="D93" s="207"/>
      <c r="E93" s="78">
        <v>207173258</v>
      </c>
      <c r="F93" s="216"/>
      <c r="G93" s="119">
        <f t="shared" si="11"/>
        <v>16254849340</v>
      </c>
      <c r="I93" s="165"/>
      <c r="J93" s="165"/>
      <c r="K93" s="165"/>
      <c r="L93" s="165"/>
    </row>
    <row r="94" spans="2:12">
      <c r="B94" s="154">
        <v>46101</v>
      </c>
      <c r="C94" s="206" t="s">
        <v>154</v>
      </c>
      <c r="D94" s="207"/>
      <c r="E94" s="78">
        <v>608644587</v>
      </c>
      <c r="F94" s="216"/>
      <c r="G94" s="119">
        <f t="shared" si="11"/>
        <v>15646204753</v>
      </c>
      <c r="I94" s="165"/>
      <c r="J94" s="165"/>
      <c r="K94" s="165"/>
      <c r="L94" s="165"/>
    </row>
    <row r="95" spans="2:12">
      <c r="B95" s="154">
        <f>+N13</f>
        <v>46171</v>
      </c>
      <c r="C95" s="206" t="s">
        <v>153</v>
      </c>
      <c r="D95" s="207"/>
      <c r="E95" s="78">
        <f>+O13</f>
        <v>1817086974</v>
      </c>
      <c r="F95" s="216"/>
      <c r="G95" s="119">
        <f t="shared" si="11"/>
        <v>13829117779</v>
      </c>
      <c r="I95" s="165"/>
      <c r="J95" s="165"/>
      <c r="K95" s="165"/>
      <c r="L95" s="165"/>
    </row>
    <row r="96" spans="2:12">
      <c r="B96" s="154">
        <f>+N14</f>
        <v>46191</v>
      </c>
      <c r="C96" s="206" t="s">
        <v>153</v>
      </c>
      <c r="D96" s="207"/>
      <c r="E96" s="78">
        <f>+O14</f>
        <v>526978224</v>
      </c>
      <c r="F96" s="216"/>
      <c r="G96" s="119">
        <f t="shared" si="11"/>
        <v>13302139555</v>
      </c>
      <c r="I96" s="165"/>
      <c r="J96" s="165"/>
      <c r="K96" s="165"/>
      <c r="L96" s="165"/>
    </row>
    <row r="97" spans="2:12">
      <c r="B97" s="154"/>
      <c r="C97" s="206" t="s">
        <v>153</v>
      </c>
      <c r="D97" s="207"/>
      <c r="E97" s="78">
        <f>+J55</f>
        <v>13991250</v>
      </c>
      <c r="F97" s="216"/>
      <c r="G97" s="119">
        <f t="shared" si="11"/>
        <v>13288148305</v>
      </c>
      <c r="I97" s="165"/>
      <c r="J97" s="165"/>
      <c r="K97" s="165"/>
      <c r="L97" s="165"/>
    </row>
    <row r="98" spans="2:12">
      <c r="B98" s="154"/>
      <c r="C98" s="206"/>
      <c r="D98" s="207"/>
      <c r="E98" s="78"/>
      <c r="F98" s="216"/>
      <c r="G98" s="119">
        <f t="shared" si="11"/>
        <v>13288148305</v>
      </c>
      <c r="I98" s="165"/>
      <c r="J98" s="165"/>
      <c r="K98" s="165"/>
      <c r="L98" s="165"/>
    </row>
    <row r="99" spans="2:12">
      <c r="B99" s="154"/>
      <c r="C99" s="206"/>
      <c r="D99" s="207"/>
      <c r="E99" s="78"/>
      <c r="F99" s="216"/>
      <c r="G99" s="119">
        <f t="shared" si="11"/>
        <v>0</v>
      </c>
      <c r="I99" s="165"/>
      <c r="J99" s="165"/>
      <c r="K99" s="165"/>
      <c r="L99" s="165"/>
    </row>
    <row r="100" spans="2:12">
      <c r="B100" s="154"/>
      <c r="C100" s="206"/>
      <c r="D100" s="207"/>
      <c r="E100" s="78"/>
      <c r="F100" s="216"/>
      <c r="G100" s="119">
        <f t="shared" si="11"/>
        <v>0</v>
      </c>
      <c r="I100" s="165"/>
      <c r="J100" s="165"/>
      <c r="K100" s="165"/>
      <c r="L100" s="165"/>
    </row>
    <row r="101" spans="2:12">
      <c r="B101" s="154"/>
      <c r="C101" s="206"/>
      <c r="D101" s="207"/>
      <c r="E101" s="78"/>
      <c r="F101" s="216"/>
      <c r="G101" s="119">
        <f t="shared" si="11"/>
        <v>0</v>
      </c>
      <c r="I101" s="165"/>
      <c r="J101" s="165"/>
      <c r="K101" s="165"/>
      <c r="L101" s="165"/>
    </row>
    <row r="102" spans="2:12">
      <c r="B102" s="154"/>
      <c r="C102" s="206"/>
      <c r="D102" s="207"/>
      <c r="E102" s="78"/>
      <c r="F102" s="216"/>
      <c r="G102" s="119">
        <f t="shared" si="11"/>
        <v>0</v>
      </c>
      <c r="I102" s="165"/>
      <c r="J102" s="165"/>
      <c r="K102" s="165"/>
      <c r="L102" s="165"/>
    </row>
    <row r="103" spans="2:12">
      <c r="B103" s="154"/>
      <c r="C103" s="206"/>
      <c r="D103" s="207"/>
      <c r="E103" s="78"/>
      <c r="F103" s="216"/>
      <c r="G103" s="119">
        <f t="shared" si="11"/>
        <v>0</v>
      </c>
      <c r="I103" s="165"/>
      <c r="J103" s="165"/>
      <c r="K103" s="165"/>
      <c r="L103" s="165"/>
    </row>
    <row r="104" spans="2:12">
      <c r="B104" s="154"/>
      <c r="C104" s="206"/>
      <c r="D104" s="207"/>
      <c r="E104" s="78"/>
      <c r="F104" s="216"/>
      <c r="G104" s="119">
        <f t="shared" si="11"/>
        <v>0</v>
      </c>
      <c r="I104" s="165"/>
      <c r="J104" s="165"/>
      <c r="K104" s="165"/>
      <c r="L104" s="165"/>
    </row>
    <row r="105" spans="2:12">
      <c r="B105" s="154"/>
      <c r="C105" s="206"/>
      <c r="D105" s="207"/>
      <c r="E105" s="78"/>
      <c r="F105" s="216"/>
      <c r="G105" s="119">
        <f t="shared" si="11"/>
        <v>0</v>
      </c>
      <c r="I105" s="165"/>
      <c r="J105" s="165"/>
      <c r="K105" s="165"/>
      <c r="L105" s="165"/>
    </row>
    <row r="106" spans="2:12">
      <c r="B106" s="154"/>
      <c r="C106" s="206"/>
      <c r="D106" s="207"/>
      <c r="E106" s="78"/>
      <c r="F106" s="216"/>
      <c r="G106" s="119">
        <f t="shared" si="11"/>
        <v>0</v>
      </c>
      <c r="I106" s="165"/>
      <c r="J106" s="165"/>
      <c r="K106" s="165"/>
      <c r="L106" s="165"/>
    </row>
    <row r="107" spans="2:12">
      <c r="B107" s="154"/>
      <c r="C107" s="206"/>
      <c r="D107" s="207"/>
      <c r="E107" s="78"/>
      <c r="F107" s="216"/>
      <c r="G107" s="119">
        <f t="shared" si="11"/>
        <v>0</v>
      </c>
      <c r="I107" s="165"/>
      <c r="J107" s="165"/>
      <c r="K107" s="165"/>
      <c r="L107" s="165"/>
    </row>
    <row r="108" spans="2:12">
      <c r="B108" s="154"/>
      <c r="C108" s="206"/>
      <c r="D108" s="207"/>
      <c r="E108" s="78"/>
      <c r="F108" s="216"/>
      <c r="G108" s="119">
        <f t="shared" si="11"/>
        <v>0</v>
      </c>
      <c r="I108" s="165"/>
      <c r="J108" s="165"/>
      <c r="K108" s="165"/>
      <c r="L108" s="165"/>
    </row>
    <row r="109" spans="2:12">
      <c r="B109" s="154"/>
      <c r="C109" s="206"/>
      <c r="D109" s="207"/>
      <c r="E109" s="78"/>
      <c r="F109" s="216"/>
      <c r="G109" s="119">
        <f t="shared" si="11"/>
        <v>0</v>
      </c>
      <c r="I109" s="165"/>
      <c r="J109" s="165"/>
      <c r="K109" s="165"/>
      <c r="L109" s="165"/>
    </row>
    <row r="110" spans="2:12">
      <c r="B110" s="154"/>
      <c r="C110" s="206"/>
      <c r="D110" s="207"/>
      <c r="E110" s="78"/>
      <c r="F110" s="216"/>
      <c r="G110" s="119">
        <f t="shared" si="11"/>
        <v>0</v>
      </c>
      <c r="I110" s="165"/>
      <c r="J110" s="165"/>
      <c r="K110" s="165"/>
      <c r="L110" s="165"/>
    </row>
    <row r="111" spans="2:12">
      <c r="B111" s="154"/>
      <c r="C111" s="206"/>
      <c r="D111" s="207"/>
      <c r="E111" s="78"/>
      <c r="F111" s="216"/>
      <c r="G111" s="119">
        <f t="shared" si="11"/>
        <v>0</v>
      </c>
      <c r="I111" s="165"/>
      <c r="J111" s="165"/>
      <c r="K111" s="165"/>
      <c r="L111" s="165"/>
    </row>
    <row r="112" spans="2:12">
      <c r="B112" s="154"/>
      <c r="C112" s="206"/>
      <c r="D112" s="207"/>
      <c r="E112" s="78"/>
      <c r="F112" s="216"/>
      <c r="G112" s="119">
        <f t="shared" si="11"/>
        <v>0</v>
      </c>
      <c r="I112" s="165"/>
      <c r="J112" s="165"/>
      <c r="K112" s="165"/>
      <c r="L112" s="165"/>
    </row>
    <row r="113" spans="2:12">
      <c r="B113" s="154"/>
      <c r="C113" s="206"/>
      <c r="D113" s="207"/>
      <c r="E113" s="78"/>
      <c r="F113" s="216"/>
      <c r="G113" s="119">
        <f t="shared" si="11"/>
        <v>0</v>
      </c>
      <c r="I113" s="165"/>
      <c r="J113" s="165"/>
      <c r="K113" s="165"/>
      <c r="L113" s="165"/>
    </row>
    <row r="114" spans="2:12">
      <c r="B114" s="154"/>
      <c r="C114" s="206"/>
      <c r="D114" s="207"/>
      <c r="E114" s="78"/>
      <c r="F114" s="217"/>
      <c r="G114" s="119">
        <f t="shared" si="11"/>
        <v>0</v>
      </c>
      <c r="I114" s="165"/>
      <c r="J114" s="165"/>
      <c r="K114" s="165"/>
      <c r="L114" s="165"/>
    </row>
    <row r="115" spans="2:12" ht="30">
      <c r="B115" s="135" t="s">
        <v>188</v>
      </c>
      <c r="C115" s="135"/>
      <c r="D115" s="135"/>
      <c r="E115" s="136">
        <f>SUM(E89:E114)</f>
        <v>15546975423</v>
      </c>
      <c r="F115" s="148">
        <f>1-F89</f>
        <v>0.46083201966970244</v>
      </c>
      <c r="G115" s="79">
        <f>+F87-E115</f>
        <v>13288148305</v>
      </c>
      <c r="I115" s="165"/>
      <c r="J115" s="165"/>
      <c r="K115" s="165"/>
      <c r="L115" s="165"/>
    </row>
    <row r="116" spans="2:12">
      <c r="E116" s="62"/>
      <c r="I116" s="165"/>
      <c r="J116" s="165"/>
      <c r="K116" s="165"/>
      <c r="L116" s="165"/>
    </row>
    <row r="117" spans="2:12">
      <c r="E117" s="62"/>
      <c r="I117" s="165"/>
      <c r="J117" s="165"/>
      <c r="K117" s="165"/>
      <c r="L117" s="165"/>
    </row>
    <row r="118" spans="2:12">
      <c r="I118" s="165"/>
      <c r="J118" s="165"/>
      <c r="K118" s="165"/>
      <c r="L118" s="165"/>
    </row>
    <row r="119" spans="2:12">
      <c r="I119" s="165"/>
      <c r="J119" s="165"/>
      <c r="K119" s="165"/>
      <c r="L119" s="165"/>
    </row>
    <row r="120" spans="2:12">
      <c r="I120" s="165"/>
      <c r="J120" s="165"/>
      <c r="K120" s="165"/>
      <c r="L120" s="165"/>
    </row>
    <row r="121" spans="2:12">
      <c r="I121" s="165"/>
      <c r="J121" s="165"/>
      <c r="K121" s="165"/>
      <c r="L121" s="165"/>
    </row>
    <row r="122" spans="2:12">
      <c r="I122" s="165"/>
      <c r="J122" s="165"/>
      <c r="K122" s="165"/>
      <c r="L122" s="165"/>
    </row>
    <row r="123" spans="2:12">
      <c r="I123" s="165"/>
      <c r="J123" s="165"/>
      <c r="K123" s="165"/>
      <c r="L123" s="165"/>
    </row>
    <row r="124" spans="2:12">
      <c r="I124" s="165"/>
      <c r="J124" s="165"/>
      <c r="K124" s="165"/>
      <c r="L124" s="165"/>
    </row>
    <row r="125" spans="2:12">
      <c r="I125" s="165"/>
      <c r="J125" s="165"/>
      <c r="K125" s="165"/>
      <c r="L125" s="165"/>
    </row>
    <row r="126" spans="2:12">
      <c r="I126" s="165"/>
      <c r="J126" s="165"/>
      <c r="K126" s="165"/>
      <c r="L126" s="165"/>
    </row>
    <row r="127" spans="2:12">
      <c r="I127" s="165"/>
      <c r="J127" s="165"/>
      <c r="K127" s="165"/>
      <c r="L127" s="165"/>
    </row>
    <row r="128" spans="2:12">
      <c r="I128" s="165"/>
      <c r="J128" s="165"/>
      <c r="K128" s="165"/>
      <c r="L128" s="165"/>
    </row>
    <row r="129" spans="5:12">
      <c r="I129" s="165"/>
      <c r="J129" s="165"/>
      <c r="K129" s="165"/>
      <c r="L129" s="165"/>
    </row>
    <row r="130" spans="5:12">
      <c r="I130" s="165"/>
      <c r="J130" s="165"/>
      <c r="K130" s="165"/>
      <c r="L130" s="165"/>
    </row>
    <row r="131" spans="5:12">
      <c r="I131" s="165"/>
      <c r="J131" s="165"/>
      <c r="K131" s="165"/>
      <c r="L131" s="165"/>
    </row>
    <row r="132" spans="5:12">
      <c r="E132" s="62"/>
    </row>
    <row r="133" spans="5:12">
      <c r="E133" s="62"/>
    </row>
    <row r="134" spans="5:12" ht="15" customHeight="1">
      <c r="E134" s="62"/>
    </row>
    <row r="135" spans="5:12">
      <c r="E135" s="62"/>
    </row>
    <row r="136" spans="5:12">
      <c r="E136" s="62"/>
    </row>
    <row r="137" spans="5:12">
      <c r="E137" s="62"/>
    </row>
    <row r="138" spans="5:12">
      <c r="E138" s="62"/>
    </row>
    <row r="139" spans="5:12">
      <c r="E139" s="62"/>
    </row>
    <row r="140" spans="5:12">
      <c r="E140" s="62"/>
    </row>
    <row r="141" spans="5:12">
      <c r="E141" s="62"/>
    </row>
    <row r="142" spans="5:12">
      <c r="E142" s="62"/>
    </row>
    <row r="143" spans="5:12">
      <c r="E143" s="62"/>
    </row>
    <row r="144" spans="5:12">
      <c r="E144" s="62"/>
    </row>
    <row r="145" spans="5:5">
      <c r="E145" s="62"/>
    </row>
    <row r="146" spans="5:5">
      <c r="E146" s="62"/>
    </row>
    <row r="147" spans="5:5">
      <c r="E147" s="62"/>
    </row>
    <row r="148" spans="5:5">
      <c r="E148" s="62"/>
    </row>
    <row r="149" spans="5:5">
      <c r="E149" s="62"/>
    </row>
    <row r="150" spans="5:5">
      <c r="E150" s="62"/>
    </row>
    <row r="151" spans="5:5">
      <c r="E151" s="62"/>
    </row>
    <row r="152" spans="5:5">
      <c r="E152" s="62"/>
    </row>
    <row r="153" spans="5:5">
      <c r="E153" s="62"/>
    </row>
    <row r="154" spans="5:5">
      <c r="E154" s="62"/>
    </row>
    <row r="155" spans="5:5">
      <c r="E155" s="62"/>
    </row>
  </sheetData>
  <mergeCells count="77">
    <mergeCell ref="F5:G5"/>
    <mergeCell ref="F6:G6"/>
    <mergeCell ref="B81:E81"/>
    <mergeCell ref="B82:E82"/>
    <mergeCell ref="E80:F80"/>
    <mergeCell ref="C5:E5"/>
    <mergeCell ref="C6:E6"/>
    <mergeCell ref="B76:D76"/>
    <mergeCell ref="K6:L6"/>
    <mergeCell ref="I6:J6"/>
    <mergeCell ref="K5:L5"/>
    <mergeCell ref="I4:J4"/>
    <mergeCell ref="I5:J5"/>
    <mergeCell ref="I1:L1"/>
    <mergeCell ref="F2:G2"/>
    <mergeCell ref="B1:G1"/>
    <mergeCell ref="K3:L3"/>
    <mergeCell ref="K4:L4"/>
    <mergeCell ref="I3:J3"/>
    <mergeCell ref="I2:J2"/>
    <mergeCell ref="K2:L2"/>
    <mergeCell ref="F3:G3"/>
    <mergeCell ref="F4:G4"/>
    <mergeCell ref="C2:E2"/>
    <mergeCell ref="C3:E3"/>
    <mergeCell ref="C4:E4"/>
    <mergeCell ref="N7:Q7"/>
    <mergeCell ref="O8:P8"/>
    <mergeCell ref="F87:G87"/>
    <mergeCell ref="B87:E87"/>
    <mergeCell ref="F9:F75"/>
    <mergeCell ref="K9:K75"/>
    <mergeCell ref="J8:K8"/>
    <mergeCell ref="E8:F8"/>
    <mergeCell ref="B7:E7"/>
    <mergeCell ref="F7:G7"/>
    <mergeCell ref="F82:G82"/>
    <mergeCell ref="F81:G81"/>
    <mergeCell ref="B85:E85"/>
    <mergeCell ref="F84:G84"/>
    <mergeCell ref="B84:E84"/>
    <mergeCell ref="I7:L7"/>
    <mergeCell ref="C114:D114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8:D108"/>
    <mergeCell ref="C109:D109"/>
    <mergeCell ref="C112:D112"/>
    <mergeCell ref="P9:P33"/>
    <mergeCell ref="C92:D92"/>
    <mergeCell ref="C93:D93"/>
    <mergeCell ref="C94:D94"/>
    <mergeCell ref="C95:D95"/>
    <mergeCell ref="C96:D96"/>
    <mergeCell ref="E88:F88"/>
    <mergeCell ref="F86:G86"/>
    <mergeCell ref="B86:E86"/>
    <mergeCell ref="F83:G83"/>
    <mergeCell ref="B83:E83"/>
    <mergeCell ref="C89:D89"/>
    <mergeCell ref="F89:F114"/>
    <mergeCell ref="C88:D88"/>
    <mergeCell ref="C113:D113"/>
    <mergeCell ref="C90:D90"/>
    <mergeCell ref="F85:G85"/>
    <mergeCell ref="C107:D107"/>
    <mergeCell ref="C110:D110"/>
    <mergeCell ref="C111:D111"/>
    <mergeCell ref="C91:D91"/>
  </mergeCells>
  <conditionalFormatting sqref="E9 E89:E93 E34 E36:E37 E45:E75 E95:E114">
    <cfRule type="cellIs" dxfId="128" priority="163" operator="greaterThan">
      <formula>0</formula>
    </cfRule>
  </conditionalFormatting>
  <conditionalFormatting sqref="F3 G9:G75 G89:G114">
    <cfRule type="cellIs" dxfId="127" priority="161" operator="greaterThan">
      <formula>0</formula>
    </cfRule>
    <cfRule type="cellIs" dxfId="126" priority="162" operator="greaterThan">
      <formula>""""""</formula>
    </cfRule>
  </conditionalFormatting>
  <conditionalFormatting sqref="L9:L75">
    <cfRule type="cellIs" dxfId="125" priority="155" operator="greaterThan">
      <formula>0</formula>
    </cfRule>
  </conditionalFormatting>
  <conditionalFormatting sqref="I3:L4 O9">
    <cfRule type="cellIs" dxfId="124" priority="139" operator="greaterThan">
      <formula>0</formula>
    </cfRule>
  </conditionalFormatting>
  <conditionalFormatting sqref="K3:L4">
    <cfRule type="cellIs" dxfId="123" priority="138" operator="greaterThan">
      <formula>0</formula>
    </cfRule>
  </conditionalFormatting>
  <conditionalFormatting sqref="J9:J75">
    <cfRule type="cellIs" dxfId="122" priority="129" operator="greaterThan">
      <formula>0</formula>
    </cfRule>
  </conditionalFormatting>
  <conditionalFormatting sqref="F87">
    <cfRule type="cellIs" dxfId="121" priority="126" operator="greaterThan">
      <formula>0</formula>
    </cfRule>
    <cfRule type="cellIs" dxfId="120" priority="127" operator="greaterThan">
      <formula>""""""</formula>
    </cfRule>
  </conditionalFormatting>
  <conditionalFormatting sqref="F7">
    <cfRule type="cellIs" dxfId="119" priority="122" operator="greaterThan">
      <formula>0</formula>
    </cfRule>
    <cfRule type="cellIs" dxfId="118" priority="123" operator="greaterThan">
      <formula>""""""</formula>
    </cfRule>
  </conditionalFormatting>
  <conditionalFormatting sqref="B5:C6">
    <cfRule type="cellIs" dxfId="117" priority="121" operator="greaterThan">
      <formula>0</formula>
    </cfRule>
  </conditionalFormatting>
  <conditionalFormatting sqref="F6:G6">
    <cfRule type="cellIs" dxfId="116" priority="120" operator="greaterThan">
      <formula>0</formula>
    </cfRule>
  </conditionalFormatting>
  <conditionalFormatting sqref="F6:G6">
    <cfRule type="cellIs" dxfId="115" priority="119" operator="greaterThan">
      <formula>0</formula>
    </cfRule>
  </conditionalFormatting>
  <conditionalFormatting sqref="B3:C3">
    <cfRule type="cellIs" dxfId="114" priority="114" operator="greaterThan">
      <formula>0</formula>
    </cfRule>
  </conditionalFormatting>
  <conditionalFormatting sqref="B7:E7">
    <cfRule type="cellIs" dxfId="113" priority="112" operator="greaterThan">
      <formula>0</formula>
    </cfRule>
  </conditionalFormatting>
  <conditionalFormatting sqref="F5:G5">
    <cfRule type="cellIs" dxfId="112" priority="83" operator="greaterThan">
      <formula>0</formula>
    </cfRule>
  </conditionalFormatting>
  <conditionalFormatting sqref="F5:G5">
    <cfRule type="cellIs" dxfId="111" priority="82" operator="greaterThan">
      <formula>0</formula>
    </cfRule>
  </conditionalFormatting>
  <conditionalFormatting sqref="F81:F84">
    <cfRule type="cellIs" dxfId="110" priority="68" operator="greaterThan">
      <formula>0</formula>
    </cfRule>
    <cfRule type="cellIs" dxfId="109" priority="69" operator="greaterThan">
      <formula>""""""</formula>
    </cfRule>
  </conditionalFormatting>
  <conditionalFormatting sqref="B81:E86">
    <cfRule type="cellIs" dxfId="108" priority="67" operator="greaterThan">
      <formula>0</formula>
    </cfRule>
  </conditionalFormatting>
  <conditionalFormatting sqref="E94">
    <cfRule type="cellIs" dxfId="107" priority="63" operator="greaterThan">
      <formula>0</formula>
    </cfRule>
  </conditionalFormatting>
  <conditionalFormatting sqref="E10:E32">
    <cfRule type="cellIs" dxfId="106" priority="59" operator="greaterThan">
      <formula>0</formula>
    </cfRule>
  </conditionalFormatting>
  <conditionalFormatting sqref="F4">
    <cfRule type="cellIs" dxfId="105" priority="57" operator="greaterThan">
      <formula>0</formula>
    </cfRule>
    <cfRule type="cellIs" dxfId="104" priority="58" operator="greaterThan">
      <formula>""""""</formula>
    </cfRule>
  </conditionalFormatting>
  <conditionalFormatting sqref="B4:C4">
    <cfRule type="cellIs" dxfId="103" priority="56" operator="greaterThan">
      <formula>0</formula>
    </cfRule>
  </conditionalFormatting>
  <conditionalFormatting sqref="E33">
    <cfRule type="cellIs" dxfId="102" priority="55" operator="greaterThan">
      <formula>0</formula>
    </cfRule>
  </conditionalFormatting>
  <conditionalFormatting sqref="E35">
    <cfRule type="cellIs" dxfId="101" priority="54" operator="greaterThan">
      <formula>0</formula>
    </cfRule>
  </conditionalFormatting>
  <conditionalFormatting sqref="I5:L6">
    <cfRule type="cellIs" dxfId="100" priority="53" operator="greaterThan">
      <formula>0</formula>
    </cfRule>
  </conditionalFormatting>
  <conditionalFormatting sqref="K5:L6">
    <cfRule type="cellIs" dxfId="99" priority="52" operator="greaterThan">
      <formula>0</formula>
    </cfRule>
  </conditionalFormatting>
  <conditionalFormatting sqref="F86:G86">
    <cfRule type="cellIs" dxfId="98" priority="49" operator="greaterThan">
      <formula>0</formula>
    </cfRule>
  </conditionalFormatting>
  <conditionalFormatting sqref="F86:G86">
    <cfRule type="cellIs" dxfId="97" priority="48" operator="greaterThan">
      <formula>0</formula>
    </cfRule>
  </conditionalFormatting>
  <conditionalFormatting sqref="F85:G85">
    <cfRule type="cellIs" dxfId="96" priority="47" operator="greaterThan">
      <formula>0</formula>
    </cfRule>
  </conditionalFormatting>
  <conditionalFormatting sqref="F85:G85">
    <cfRule type="cellIs" dxfId="95" priority="46" operator="greaterThan">
      <formula>0</formula>
    </cfRule>
  </conditionalFormatting>
  <conditionalFormatting sqref="I7">
    <cfRule type="cellIs" dxfId="94" priority="34" operator="greaterThan">
      <formula>0</formula>
    </cfRule>
  </conditionalFormatting>
  <conditionalFormatting sqref="E38:E41">
    <cfRule type="cellIs" dxfId="93" priority="29" operator="greaterThan">
      <formula>0</formula>
    </cfRule>
  </conditionalFormatting>
  <conditionalFormatting sqref="E42:E44">
    <cfRule type="cellIs" dxfId="92" priority="28" operator="greaterThan">
      <formula>0</formula>
    </cfRule>
  </conditionalFormatting>
  <conditionalFormatting sqref="O9">
    <cfRule type="cellIs" dxfId="91" priority="24" operator="greaterThan">
      <formula>0</formula>
    </cfRule>
  </conditionalFormatting>
  <conditionalFormatting sqref="O17:O32">
    <cfRule type="cellIs" dxfId="90" priority="9" operator="greaterThan">
      <formula>0</formula>
    </cfRule>
  </conditionalFormatting>
  <conditionalFormatting sqref="O17:O32">
    <cfRule type="cellIs" dxfId="89" priority="10" operator="greaterThan">
      <formula>0</formula>
    </cfRule>
  </conditionalFormatting>
  <conditionalFormatting sqref="N34">
    <cfRule type="cellIs" dxfId="88" priority="17" operator="greaterThan">
      <formula>0</formula>
    </cfRule>
  </conditionalFormatting>
  <conditionalFormatting sqref="O34">
    <cfRule type="cellIs" dxfId="87" priority="15" operator="greaterThan">
      <formula>0</formula>
    </cfRule>
    <cfRule type="cellIs" dxfId="86" priority="16" operator="greaterThan">
      <formula>""""""</formula>
    </cfRule>
  </conditionalFormatting>
  <conditionalFormatting sqref="O10:O14">
    <cfRule type="cellIs" dxfId="85" priority="8" operator="greaterThan">
      <formula>0</formula>
    </cfRule>
  </conditionalFormatting>
  <conditionalFormatting sqref="O10:O14">
    <cfRule type="cellIs" dxfId="84" priority="7" operator="greaterThan">
      <formula>0</formula>
    </cfRule>
  </conditionalFormatting>
  <conditionalFormatting sqref="O33">
    <cfRule type="cellIs" dxfId="83" priority="5" operator="greaterThan">
      <formula>0</formula>
    </cfRule>
  </conditionalFormatting>
  <conditionalFormatting sqref="O33">
    <cfRule type="cellIs" dxfId="82" priority="6" operator="greaterThan">
      <formula>0</formula>
    </cfRule>
  </conditionalFormatting>
  <conditionalFormatting sqref="O15">
    <cfRule type="cellIs" dxfId="81" priority="4" operator="greaterThan">
      <formula>0</formula>
    </cfRule>
  </conditionalFormatting>
  <conditionalFormatting sqref="O15">
    <cfRule type="cellIs" dxfId="80" priority="3" operator="greaterThan">
      <formula>0</formula>
    </cfRule>
  </conditionalFormatting>
  <conditionalFormatting sqref="O16">
    <cfRule type="cellIs" dxfId="79" priority="2" operator="greaterThan">
      <formula>0</formula>
    </cfRule>
  </conditionalFormatting>
  <conditionalFormatting sqref="O16">
    <cfRule type="cellIs" dxfId="78" priority="1" operator="greaterThan">
      <formula>0</formula>
    </cfRule>
  </conditionalFormatting>
  <dataValidations count="2">
    <dataValidation type="whole" operator="greaterThan" allowBlank="1" showInputMessage="1" showErrorMessage="1" sqref="O34 F5 E45:E75 E10:E27 F84:F86 O9:O15 K3:K6 E29:E41 E91:E114" xr:uid="{00000000-0002-0000-0200-000000000000}">
      <formula1>0</formula1>
    </dataValidation>
    <dataValidation operator="greaterThan" allowBlank="1" showInputMessage="1" showErrorMessage="1" sqref="J9:J75" xr:uid="{00000000-0002-0000-0200-000001000000}"/>
  </dataValidations>
  <pageMargins left="0.7" right="0.7" top="0.75" bottom="0.75" header="0.3" footer="0.3"/>
  <pageSetup orientation="portrait" horizontalDpi="4294967295" verticalDpi="4294967295" r:id="rId1"/>
  <ignoredErrors>
    <ignoredError sqref="F87 G49:I54 G48:I48 J48:J75 F89 G98:G114 O34 A58:A75 G62:I75 G55:H60 G61:I61 I58:I60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"/>
  <sheetViews>
    <sheetView zoomScale="120" zoomScaleNormal="120" workbookViewId="0">
      <selection activeCell="B14" sqref="B14"/>
    </sheetView>
  </sheetViews>
  <sheetFormatPr baseColWidth="10" defaultColWidth="11.42578125" defaultRowHeight="15"/>
  <cols>
    <col min="1" max="1" width="4.85546875" style="62" customWidth="1"/>
    <col min="2" max="2" width="18.28515625" style="62" customWidth="1"/>
    <col min="3" max="3" width="18.28515625" style="75" customWidth="1"/>
    <col min="4" max="4" width="11.7109375" style="62" customWidth="1"/>
    <col min="5" max="5" width="18.28515625" style="62" customWidth="1"/>
    <col min="6" max="6" width="3.42578125" style="62" customWidth="1"/>
    <col min="7" max="8" width="18.28515625" style="62" customWidth="1"/>
    <col min="9" max="9" width="11.7109375" style="62" customWidth="1"/>
    <col min="10" max="10" width="18.28515625" style="62" customWidth="1"/>
    <col min="11" max="11" width="11.42578125" style="62"/>
    <col min="12" max="12" width="25" style="62" bestFit="1" customWidth="1"/>
    <col min="13" max="13" width="12.7109375" style="62" bestFit="1" customWidth="1"/>
    <col min="14" max="14" width="11.42578125" style="62"/>
    <col min="15" max="15" width="12.7109375" style="62" bestFit="1" customWidth="1"/>
    <col min="16" max="16384" width="11.42578125" style="62"/>
  </cols>
  <sheetData>
    <row r="1" spans="1:15">
      <c r="B1" s="240" t="s">
        <v>189</v>
      </c>
      <c r="C1" s="240"/>
      <c r="D1" s="240"/>
      <c r="E1" s="240"/>
      <c r="F1" s="122"/>
      <c r="G1" s="240" t="s">
        <v>189</v>
      </c>
      <c r="H1" s="240"/>
      <c r="I1" s="240"/>
      <c r="J1" s="240"/>
    </row>
    <row r="2" spans="1:15" s="120" customFormat="1" ht="15.75">
      <c r="B2" s="252" t="s">
        <v>2</v>
      </c>
      <c r="C2" s="253"/>
      <c r="D2" s="224" t="s">
        <v>152</v>
      </c>
      <c r="E2" s="224"/>
      <c r="F2" s="123"/>
      <c r="G2" s="252" t="s">
        <v>2</v>
      </c>
      <c r="H2" s="253"/>
      <c r="I2" s="252" t="s">
        <v>190</v>
      </c>
      <c r="J2" s="253"/>
    </row>
    <row r="3" spans="1:15">
      <c r="B3" s="206">
        <v>46020</v>
      </c>
      <c r="C3" s="207"/>
      <c r="D3" s="244">
        <v>1462022598</v>
      </c>
      <c r="E3" s="245"/>
      <c r="G3" s="206">
        <v>46044</v>
      </c>
      <c r="H3" s="207"/>
      <c r="I3" s="210">
        <v>207173258</v>
      </c>
      <c r="J3" s="211"/>
    </row>
    <row r="4" spans="1:15">
      <c r="B4" s="206"/>
      <c r="C4" s="207"/>
      <c r="D4" s="210"/>
      <c r="E4" s="211"/>
      <c r="G4" s="206">
        <v>46101</v>
      </c>
      <c r="H4" s="207"/>
      <c r="I4" s="210">
        <v>608644587</v>
      </c>
      <c r="J4" s="211"/>
      <c r="L4" s="62" t="str">
        <f>+IF('Ejecución financiera CAS'!B9="crue",'Ejecución financiera CAS'!C9,"")</f>
        <v/>
      </c>
    </row>
    <row r="5" spans="1:15" ht="15.75">
      <c r="B5" s="206"/>
      <c r="C5" s="207"/>
      <c r="D5" s="210"/>
      <c r="E5" s="211"/>
      <c r="G5" s="206"/>
      <c r="H5" s="207"/>
      <c r="I5" s="210"/>
      <c r="J5" s="211"/>
      <c r="L5" s="181"/>
    </row>
    <row r="6" spans="1:15">
      <c r="B6" s="206"/>
      <c r="C6" s="207"/>
      <c r="D6" s="210"/>
      <c r="E6" s="211"/>
      <c r="G6" s="206"/>
      <c r="H6" s="207"/>
      <c r="I6" s="210"/>
      <c r="J6" s="211"/>
    </row>
    <row r="7" spans="1:15">
      <c r="B7" s="206"/>
      <c r="C7" s="207"/>
      <c r="D7" s="210"/>
      <c r="E7" s="211"/>
      <c r="G7" s="206"/>
      <c r="H7" s="207"/>
      <c r="I7" s="210"/>
      <c r="J7" s="211"/>
    </row>
    <row r="8" spans="1:15" s="120" customFormat="1" ht="15.75">
      <c r="B8" s="234" t="s">
        <v>155</v>
      </c>
      <c r="C8" s="236"/>
      <c r="D8" s="237">
        <f>SUM(D3:E4)</f>
        <v>1462022598</v>
      </c>
      <c r="E8" s="237"/>
      <c r="G8" s="255" t="s">
        <v>191</v>
      </c>
      <c r="H8" s="255"/>
      <c r="I8" s="256">
        <f>SUM(I3:J7)</f>
        <v>815817845</v>
      </c>
      <c r="J8" s="256"/>
    </row>
    <row r="9" spans="1:15">
      <c r="B9" s="121" t="s">
        <v>2</v>
      </c>
      <c r="C9" s="233" t="s">
        <v>158</v>
      </c>
      <c r="D9" s="233"/>
      <c r="E9" s="121" t="s">
        <v>159</v>
      </c>
      <c r="G9" s="121" t="s">
        <v>2</v>
      </c>
      <c r="H9" s="233" t="s">
        <v>158</v>
      </c>
      <c r="I9" s="233"/>
      <c r="J9" s="121" t="s">
        <v>159</v>
      </c>
      <c r="L9" s="170">
        <f>+C10+C11</f>
        <v>169441903</v>
      </c>
      <c r="M9" s="170">
        <f>+L9*0.08</f>
        <v>13555352.24</v>
      </c>
      <c r="N9" s="170">
        <f>+M9*0.19</f>
        <v>2575516.9256000002</v>
      </c>
      <c r="O9" s="170">
        <f>+N9+M9</f>
        <v>16130869.1656</v>
      </c>
    </row>
    <row r="10" spans="1:15">
      <c r="A10" s="62">
        <f>IF(B10="","",ROW()-9)</f>
        <v>1</v>
      </c>
      <c r="B10" s="77">
        <v>46128</v>
      </c>
      <c r="C10" s="78">
        <v>27568325</v>
      </c>
      <c r="D10" s="218">
        <f>+SUM(C10:C11)/$D$8</f>
        <v>0.11589554308653716</v>
      </c>
      <c r="E10" s="78">
        <f>IF(C10=0,0,D3-C10)</f>
        <v>1434454273</v>
      </c>
      <c r="G10" s="77" t="s">
        <v>162</v>
      </c>
      <c r="H10" s="78">
        <f>+C10</f>
        <v>27568325</v>
      </c>
      <c r="I10" s="218">
        <f>SUM(H10:H11)/$I$8</f>
        <v>0.20769575468161033</v>
      </c>
      <c r="J10" s="78">
        <f>IF(H10=0,"",I8-H10)</f>
        <v>788249520</v>
      </c>
    </row>
    <row r="11" spans="1:15">
      <c r="A11" s="62">
        <f t="shared" ref="A11:A33" si="0">IF(B11="","",ROW()-9)</f>
        <v>2</v>
      </c>
      <c r="B11" s="77">
        <v>46129</v>
      </c>
      <c r="C11" s="78">
        <v>141873578</v>
      </c>
      <c r="D11" s="219"/>
      <c r="E11" s="78">
        <f t="shared" ref="E11:E33" si="1">IF(C11=0,0,E10-C11)</f>
        <v>1292580695</v>
      </c>
      <c r="G11" s="77" t="s">
        <v>163</v>
      </c>
      <c r="H11" s="78">
        <f t="shared" ref="H11:H33" si="2">+C11</f>
        <v>141873578</v>
      </c>
      <c r="I11" s="219"/>
      <c r="J11" s="78">
        <f>IF(H11=0,"",J10-H11)</f>
        <v>646375942</v>
      </c>
      <c r="L11" s="170">
        <v>45786710</v>
      </c>
    </row>
    <row r="12" spans="1:15">
      <c r="A12" s="62">
        <f t="shared" si="0"/>
        <v>3</v>
      </c>
      <c r="B12" s="77">
        <v>46155</v>
      </c>
      <c r="C12" s="78">
        <v>45786710</v>
      </c>
      <c r="D12" s="219"/>
      <c r="E12" s="78">
        <f t="shared" si="1"/>
        <v>1246793985</v>
      </c>
      <c r="G12" s="77">
        <v>46155</v>
      </c>
      <c r="H12" s="78">
        <f t="shared" si="2"/>
        <v>45786710</v>
      </c>
      <c r="I12" s="219"/>
      <c r="J12" s="78">
        <f t="shared" ref="J12:J33" si="3">IF(H12=0,"",J11-H12)</f>
        <v>600589232</v>
      </c>
      <c r="L12" s="170">
        <v>16130869</v>
      </c>
    </row>
    <row r="13" spans="1:15">
      <c r="A13" s="62">
        <f t="shared" si="0"/>
        <v>4</v>
      </c>
      <c r="B13" s="77">
        <v>46155</v>
      </c>
      <c r="C13" s="78">
        <v>16130869</v>
      </c>
      <c r="D13" s="219"/>
      <c r="E13" s="78">
        <f t="shared" si="1"/>
        <v>1230663116</v>
      </c>
      <c r="G13" s="77">
        <v>46155</v>
      </c>
      <c r="H13" s="78">
        <f t="shared" si="2"/>
        <v>16130869</v>
      </c>
      <c r="I13" s="219"/>
      <c r="J13" s="78">
        <f t="shared" si="3"/>
        <v>584458363</v>
      </c>
      <c r="L13" s="170">
        <v>40613589</v>
      </c>
    </row>
    <row r="14" spans="1:15">
      <c r="A14" s="62" t="str">
        <f t="shared" si="0"/>
        <v/>
      </c>
      <c r="B14" s="77"/>
      <c r="C14" s="78"/>
      <c r="D14" s="219"/>
      <c r="E14" s="78">
        <f t="shared" si="1"/>
        <v>0</v>
      </c>
      <c r="G14" s="77" t="str">
        <f t="shared" ref="G14:G33" si="4">IF(B14="","",+B14)</f>
        <v/>
      </c>
      <c r="H14" s="78">
        <f t="shared" si="2"/>
        <v>0</v>
      </c>
      <c r="I14" s="219"/>
      <c r="J14" s="78" t="str">
        <f t="shared" si="3"/>
        <v/>
      </c>
      <c r="L14" s="170">
        <v>4358895</v>
      </c>
    </row>
    <row r="15" spans="1:15">
      <c r="A15" s="62" t="str">
        <f t="shared" si="0"/>
        <v/>
      </c>
      <c r="B15" s="77"/>
      <c r="C15" s="78"/>
      <c r="D15" s="219"/>
      <c r="E15" s="78">
        <f t="shared" si="1"/>
        <v>0</v>
      </c>
      <c r="G15" s="77" t="str">
        <f t="shared" si="4"/>
        <v/>
      </c>
      <c r="H15" s="78">
        <f t="shared" si="2"/>
        <v>0</v>
      </c>
      <c r="I15" s="219"/>
      <c r="J15" s="78" t="str">
        <f t="shared" si="3"/>
        <v/>
      </c>
      <c r="L15" s="170">
        <f>SUM(L11:L14)</f>
        <v>106890063</v>
      </c>
    </row>
    <row r="16" spans="1:15">
      <c r="A16" s="62" t="str">
        <f t="shared" si="0"/>
        <v/>
      </c>
      <c r="B16" s="77"/>
      <c r="C16" s="78"/>
      <c r="D16" s="219"/>
      <c r="E16" s="78">
        <f t="shared" si="1"/>
        <v>0</v>
      </c>
      <c r="G16" s="77" t="str">
        <f t="shared" si="4"/>
        <v/>
      </c>
      <c r="H16" s="78">
        <f t="shared" si="2"/>
        <v>0</v>
      </c>
      <c r="I16" s="219"/>
      <c r="J16" s="78" t="str">
        <f t="shared" si="3"/>
        <v/>
      </c>
    </row>
    <row r="17" spans="1:10">
      <c r="A17" s="62" t="str">
        <f t="shared" si="0"/>
        <v/>
      </c>
      <c r="B17" s="77"/>
      <c r="C17" s="78"/>
      <c r="D17" s="219"/>
      <c r="E17" s="78">
        <f t="shared" si="1"/>
        <v>0</v>
      </c>
      <c r="G17" s="77" t="str">
        <f t="shared" si="4"/>
        <v/>
      </c>
      <c r="H17" s="78">
        <f t="shared" si="2"/>
        <v>0</v>
      </c>
      <c r="I17" s="219"/>
      <c r="J17" s="78" t="str">
        <f t="shared" si="3"/>
        <v/>
      </c>
    </row>
    <row r="18" spans="1:10">
      <c r="A18" s="62" t="str">
        <f t="shared" si="0"/>
        <v/>
      </c>
      <c r="B18" s="77"/>
      <c r="C18" s="78"/>
      <c r="D18" s="219"/>
      <c r="E18" s="78">
        <f t="shared" si="1"/>
        <v>0</v>
      </c>
      <c r="G18" s="77" t="str">
        <f t="shared" si="4"/>
        <v/>
      </c>
      <c r="H18" s="78">
        <f t="shared" si="2"/>
        <v>0</v>
      </c>
      <c r="I18" s="219"/>
      <c r="J18" s="78" t="str">
        <f t="shared" si="3"/>
        <v/>
      </c>
    </row>
    <row r="19" spans="1:10">
      <c r="A19" s="62" t="str">
        <f t="shared" si="0"/>
        <v/>
      </c>
      <c r="B19" s="77"/>
      <c r="C19" s="78"/>
      <c r="D19" s="219"/>
      <c r="E19" s="78">
        <f t="shared" si="1"/>
        <v>0</v>
      </c>
      <c r="G19" s="77" t="str">
        <f t="shared" si="4"/>
        <v/>
      </c>
      <c r="H19" s="78">
        <f t="shared" si="2"/>
        <v>0</v>
      </c>
      <c r="I19" s="219"/>
      <c r="J19" s="78" t="str">
        <f t="shared" si="3"/>
        <v/>
      </c>
    </row>
    <row r="20" spans="1:10">
      <c r="A20" s="62" t="str">
        <f t="shared" si="0"/>
        <v/>
      </c>
      <c r="B20" s="77"/>
      <c r="C20" s="78"/>
      <c r="D20" s="219"/>
      <c r="E20" s="78">
        <f t="shared" si="1"/>
        <v>0</v>
      </c>
      <c r="G20" s="77" t="str">
        <f t="shared" si="4"/>
        <v/>
      </c>
      <c r="H20" s="78">
        <f t="shared" si="2"/>
        <v>0</v>
      </c>
      <c r="I20" s="219"/>
      <c r="J20" s="78" t="str">
        <f t="shared" si="3"/>
        <v/>
      </c>
    </row>
    <row r="21" spans="1:10">
      <c r="A21" s="62" t="str">
        <f t="shared" si="0"/>
        <v/>
      </c>
      <c r="B21" s="77"/>
      <c r="C21" s="78"/>
      <c r="D21" s="219"/>
      <c r="E21" s="78">
        <f t="shared" si="1"/>
        <v>0</v>
      </c>
      <c r="G21" s="77" t="str">
        <f t="shared" si="4"/>
        <v/>
      </c>
      <c r="H21" s="78">
        <f t="shared" si="2"/>
        <v>0</v>
      </c>
      <c r="I21" s="219"/>
      <c r="J21" s="78" t="str">
        <f t="shared" si="3"/>
        <v/>
      </c>
    </row>
    <row r="22" spans="1:10">
      <c r="A22" s="62" t="str">
        <f t="shared" si="0"/>
        <v/>
      </c>
      <c r="B22" s="77"/>
      <c r="C22" s="78"/>
      <c r="D22" s="219"/>
      <c r="E22" s="78">
        <f t="shared" si="1"/>
        <v>0</v>
      </c>
      <c r="G22" s="77" t="str">
        <f t="shared" si="4"/>
        <v/>
      </c>
      <c r="H22" s="78">
        <f t="shared" si="2"/>
        <v>0</v>
      </c>
      <c r="I22" s="219"/>
      <c r="J22" s="78" t="str">
        <f t="shared" si="3"/>
        <v/>
      </c>
    </row>
    <row r="23" spans="1:10">
      <c r="A23" s="62" t="str">
        <f t="shared" si="0"/>
        <v/>
      </c>
      <c r="B23" s="77"/>
      <c r="C23" s="78"/>
      <c r="D23" s="219"/>
      <c r="E23" s="78">
        <f t="shared" si="1"/>
        <v>0</v>
      </c>
      <c r="G23" s="77" t="str">
        <f t="shared" si="4"/>
        <v/>
      </c>
      <c r="H23" s="78">
        <f t="shared" si="2"/>
        <v>0</v>
      </c>
      <c r="I23" s="219"/>
      <c r="J23" s="78" t="str">
        <f t="shared" si="3"/>
        <v/>
      </c>
    </row>
    <row r="24" spans="1:10">
      <c r="A24" s="62" t="str">
        <f t="shared" si="0"/>
        <v/>
      </c>
      <c r="B24" s="77"/>
      <c r="C24" s="78"/>
      <c r="D24" s="219"/>
      <c r="E24" s="78">
        <f t="shared" si="1"/>
        <v>0</v>
      </c>
      <c r="G24" s="77" t="str">
        <f t="shared" si="4"/>
        <v/>
      </c>
      <c r="H24" s="78">
        <f t="shared" si="2"/>
        <v>0</v>
      </c>
      <c r="I24" s="219"/>
      <c r="J24" s="78" t="str">
        <f t="shared" si="3"/>
        <v/>
      </c>
    </row>
    <row r="25" spans="1:10">
      <c r="A25" s="62" t="str">
        <f t="shared" si="0"/>
        <v/>
      </c>
      <c r="B25" s="77"/>
      <c r="C25" s="78"/>
      <c r="D25" s="219"/>
      <c r="E25" s="78">
        <f t="shared" si="1"/>
        <v>0</v>
      </c>
      <c r="G25" s="77" t="str">
        <f t="shared" si="4"/>
        <v/>
      </c>
      <c r="H25" s="78">
        <f t="shared" si="2"/>
        <v>0</v>
      </c>
      <c r="I25" s="219"/>
      <c r="J25" s="78" t="str">
        <f t="shared" si="3"/>
        <v/>
      </c>
    </row>
    <row r="26" spans="1:10">
      <c r="A26" s="62" t="str">
        <f t="shared" si="0"/>
        <v/>
      </c>
      <c r="B26" s="77"/>
      <c r="C26" s="78"/>
      <c r="D26" s="219"/>
      <c r="E26" s="78">
        <f t="shared" si="1"/>
        <v>0</v>
      </c>
      <c r="G26" s="77" t="str">
        <f t="shared" si="4"/>
        <v/>
      </c>
      <c r="H26" s="78">
        <f t="shared" si="2"/>
        <v>0</v>
      </c>
      <c r="I26" s="219"/>
      <c r="J26" s="78" t="str">
        <f t="shared" si="3"/>
        <v/>
      </c>
    </row>
    <row r="27" spans="1:10">
      <c r="A27" s="62" t="str">
        <f t="shared" si="0"/>
        <v/>
      </c>
      <c r="B27" s="77"/>
      <c r="C27" s="78"/>
      <c r="D27" s="219"/>
      <c r="E27" s="78">
        <f t="shared" si="1"/>
        <v>0</v>
      </c>
      <c r="G27" s="77" t="str">
        <f t="shared" si="4"/>
        <v/>
      </c>
      <c r="H27" s="78">
        <f t="shared" si="2"/>
        <v>0</v>
      </c>
      <c r="I27" s="219"/>
      <c r="J27" s="78" t="str">
        <f t="shared" si="3"/>
        <v/>
      </c>
    </row>
    <row r="28" spans="1:10">
      <c r="A28" s="62" t="str">
        <f t="shared" si="0"/>
        <v/>
      </c>
      <c r="B28" s="77"/>
      <c r="C28" s="78"/>
      <c r="D28" s="219"/>
      <c r="E28" s="78">
        <f t="shared" si="1"/>
        <v>0</v>
      </c>
      <c r="G28" s="77" t="str">
        <f t="shared" si="4"/>
        <v/>
      </c>
      <c r="H28" s="78">
        <f t="shared" si="2"/>
        <v>0</v>
      </c>
      <c r="I28" s="219"/>
      <c r="J28" s="78" t="str">
        <f t="shared" si="3"/>
        <v/>
      </c>
    </row>
    <row r="29" spans="1:10">
      <c r="A29" s="62" t="str">
        <f t="shared" si="0"/>
        <v/>
      </c>
      <c r="B29" s="77"/>
      <c r="C29" s="78"/>
      <c r="D29" s="219"/>
      <c r="E29" s="78">
        <f t="shared" si="1"/>
        <v>0</v>
      </c>
      <c r="G29" s="77" t="str">
        <f t="shared" si="4"/>
        <v/>
      </c>
      <c r="H29" s="78">
        <f t="shared" si="2"/>
        <v>0</v>
      </c>
      <c r="I29" s="219"/>
      <c r="J29" s="78" t="str">
        <f t="shared" si="3"/>
        <v/>
      </c>
    </row>
    <row r="30" spans="1:10">
      <c r="A30" s="62" t="str">
        <f t="shared" si="0"/>
        <v/>
      </c>
      <c r="B30" s="77"/>
      <c r="C30" s="78"/>
      <c r="D30" s="219"/>
      <c r="E30" s="78">
        <f t="shared" si="1"/>
        <v>0</v>
      </c>
      <c r="G30" s="77" t="str">
        <f t="shared" si="4"/>
        <v/>
      </c>
      <c r="H30" s="78">
        <f t="shared" si="2"/>
        <v>0</v>
      </c>
      <c r="I30" s="219"/>
      <c r="J30" s="78" t="str">
        <f t="shared" si="3"/>
        <v/>
      </c>
    </row>
    <row r="31" spans="1:10">
      <c r="A31" s="62" t="str">
        <f t="shared" si="0"/>
        <v/>
      </c>
      <c r="B31" s="77"/>
      <c r="C31" s="78"/>
      <c r="D31" s="219"/>
      <c r="E31" s="78">
        <f t="shared" si="1"/>
        <v>0</v>
      </c>
      <c r="G31" s="77" t="str">
        <f t="shared" si="4"/>
        <v/>
      </c>
      <c r="H31" s="78">
        <f t="shared" si="2"/>
        <v>0</v>
      </c>
      <c r="I31" s="219"/>
      <c r="J31" s="78" t="str">
        <f t="shared" si="3"/>
        <v/>
      </c>
    </row>
    <row r="32" spans="1:10">
      <c r="A32" s="62" t="str">
        <f t="shared" si="0"/>
        <v/>
      </c>
      <c r="B32" s="77"/>
      <c r="C32" s="78"/>
      <c r="D32" s="219"/>
      <c r="E32" s="78">
        <f t="shared" si="1"/>
        <v>0</v>
      </c>
      <c r="G32" s="77" t="str">
        <f t="shared" si="4"/>
        <v/>
      </c>
      <c r="H32" s="78">
        <f t="shared" si="2"/>
        <v>0</v>
      </c>
      <c r="I32" s="219"/>
      <c r="J32" s="78" t="str">
        <f t="shared" si="3"/>
        <v/>
      </c>
    </row>
    <row r="33" spans="1:10" s="120" customFormat="1" ht="15.75">
      <c r="A33" s="62" t="str">
        <f t="shared" si="0"/>
        <v/>
      </c>
      <c r="B33" s="77"/>
      <c r="C33" s="78"/>
      <c r="D33" s="220"/>
      <c r="E33" s="78">
        <f t="shared" si="1"/>
        <v>0</v>
      </c>
      <c r="G33" s="77" t="str">
        <f t="shared" si="4"/>
        <v/>
      </c>
      <c r="H33" s="78">
        <f t="shared" si="2"/>
        <v>0</v>
      </c>
      <c r="I33" s="220"/>
      <c r="J33" s="78" t="str">
        <f t="shared" si="3"/>
        <v/>
      </c>
    </row>
    <row r="34" spans="1:10" ht="15.75">
      <c r="B34" s="145" t="s">
        <v>180</v>
      </c>
      <c r="C34" s="146">
        <f>SUM(C10:C33)</f>
        <v>231359482</v>
      </c>
      <c r="D34" s="148">
        <f>1-D10</f>
        <v>0.88410445691346284</v>
      </c>
      <c r="E34" s="147">
        <f>+D8-C34</f>
        <v>1230663116</v>
      </c>
      <c r="G34" s="145" t="s">
        <v>180</v>
      </c>
      <c r="H34" s="146">
        <f>SUM(H10:H33)</f>
        <v>231359482</v>
      </c>
      <c r="I34" s="148">
        <f>1-I10</f>
        <v>0.79230424531838972</v>
      </c>
      <c r="J34" s="147">
        <f>+I8-H34</f>
        <v>584458363</v>
      </c>
    </row>
    <row r="35" spans="1:10">
      <c r="C35" s="62"/>
    </row>
    <row r="36" spans="1:10">
      <c r="C36" s="62"/>
    </row>
    <row r="37" spans="1:10">
      <c r="B37" s="206">
        <v>45757</v>
      </c>
      <c r="C37" s="206"/>
      <c r="D37" s="213">
        <v>26000000000</v>
      </c>
      <c r="E37" s="213"/>
    </row>
    <row r="38" spans="1:10">
      <c r="B38" s="206"/>
      <c r="C38" s="206"/>
      <c r="D38" s="213"/>
      <c r="E38" s="214"/>
    </row>
    <row r="39" spans="1:10">
      <c r="B39" s="206"/>
      <c r="C39" s="207"/>
      <c r="D39" s="172"/>
      <c r="E39" s="173"/>
      <c r="G39" s="74" t="s">
        <v>2</v>
      </c>
      <c r="H39" s="254" t="s">
        <v>192</v>
      </c>
      <c r="I39" s="254"/>
      <c r="J39" s="74" t="s">
        <v>159</v>
      </c>
    </row>
    <row r="40" spans="1:10">
      <c r="G40" s="80">
        <v>46020</v>
      </c>
      <c r="H40" s="81">
        <v>1462022598</v>
      </c>
      <c r="I40" s="215">
        <f>SUM(H41:H46)/$J$40</f>
        <v>0.55800631680797042</v>
      </c>
      <c r="J40" s="78">
        <f>+H40</f>
        <v>1462022598</v>
      </c>
    </row>
    <row r="41" spans="1:10">
      <c r="G41" s="154">
        <v>46044</v>
      </c>
      <c r="H41" s="78">
        <v>207173258</v>
      </c>
      <c r="I41" s="216"/>
      <c r="J41" s="78">
        <f>+J40-H41</f>
        <v>1254849340</v>
      </c>
    </row>
    <row r="42" spans="1:10">
      <c r="G42" s="154">
        <v>46101</v>
      </c>
      <c r="H42" s="78">
        <v>608644587</v>
      </c>
      <c r="I42" s="216"/>
      <c r="J42" s="78">
        <f t="shared" ref="J42:J46" si="5">+J41-H42</f>
        <v>646204753</v>
      </c>
    </row>
    <row r="43" spans="1:10">
      <c r="G43" s="154"/>
      <c r="H43" s="78"/>
      <c r="I43" s="216"/>
      <c r="J43" s="78">
        <f t="shared" si="5"/>
        <v>646204753</v>
      </c>
    </row>
    <row r="44" spans="1:10">
      <c r="G44" s="77"/>
      <c r="H44" s="78"/>
      <c r="I44" s="216"/>
      <c r="J44" s="78">
        <f t="shared" si="5"/>
        <v>646204753</v>
      </c>
    </row>
    <row r="45" spans="1:10">
      <c r="G45" s="77"/>
      <c r="H45" s="78"/>
      <c r="I45" s="216"/>
      <c r="J45" s="78">
        <f t="shared" si="5"/>
        <v>646204753</v>
      </c>
    </row>
    <row r="46" spans="1:10">
      <c r="G46" s="77"/>
      <c r="H46" s="78"/>
      <c r="I46" s="217"/>
      <c r="J46" s="78">
        <f t="shared" si="5"/>
        <v>646204753</v>
      </c>
    </row>
    <row r="66" spans="3:3">
      <c r="C66" s="62"/>
    </row>
    <row r="67" spans="3:3">
      <c r="C67" s="62"/>
    </row>
    <row r="68" spans="3:3">
      <c r="C68" s="62"/>
    </row>
    <row r="69" spans="3:3">
      <c r="C69" s="62"/>
    </row>
    <row r="70" spans="3:3">
      <c r="C70" s="62"/>
    </row>
    <row r="71" spans="3:3">
      <c r="C71" s="62"/>
    </row>
    <row r="72" spans="3:3">
      <c r="C72" s="62"/>
    </row>
    <row r="73" spans="3:3">
      <c r="C73" s="62"/>
    </row>
    <row r="74" spans="3:3">
      <c r="C74" s="62"/>
    </row>
    <row r="75" spans="3:3">
      <c r="C75" s="62"/>
    </row>
    <row r="76" spans="3:3">
      <c r="C76" s="62"/>
    </row>
    <row r="77" spans="3:3">
      <c r="C77" s="62"/>
    </row>
    <row r="78" spans="3:3">
      <c r="C78" s="62"/>
    </row>
    <row r="79" spans="3:3">
      <c r="C79" s="62"/>
    </row>
    <row r="80" spans="3:3">
      <c r="C80" s="62"/>
    </row>
    <row r="81" spans="3:3">
      <c r="C81" s="62"/>
    </row>
    <row r="82" spans="3:3">
      <c r="C82" s="62"/>
    </row>
    <row r="83" spans="3:3">
      <c r="C83" s="62"/>
    </row>
    <row r="84" spans="3:3">
      <c r="C84" s="62"/>
    </row>
    <row r="85" spans="3:3">
      <c r="C85" s="62"/>
    </row>
    <row r="86" spans="3:3">
      <c r="C86" s="62"/>
    </row>
    <row r="87" spans="3:3">
      <c r="C87" s="62"/>
    </row>
    <row r="88" spans="3:3">
      <c r="C88" s="62"/>
    </row>
    <row r="89" spans="3:3">
      <c r="C89" s="62"/>
    </row>
    <row r="90" spans="3:3">
      <c r="C90" s="62"/>
    </row>
    <row r="91" spans="3:3">
      <c r="C91" s="62"/>
    </row>
    <row r="92" spans="3:3">
      <c r="C92" s="62"/>
    </row>
    <row r="93" spans="3:3">
      <c r="C93" s="62"/>
    </row>
    <row r="94" spans="3:3">
      <c r="C94" s="62"/>
    </row>
    <row r="95" spans="3:3">
      <c r="C95" s="62"/>
    </row>
    <row r="96" spans="3:3">
      <c r="C96" s="62"/>
    </row>
    <row r="97" spans="3:3">
      <c r="C97" s="62"/>
    </row>
    <row r="98" spans="3:3">
      <c r="C98" s="62"/>
    </row>
    <row r="99" spans="3:3">
      <c r="C99" s="62"/>
    </row>
    <row r="100" spans="3:3">
      <c r="C100" s="62"/>
    </row>
  </sheetData>
  <mergeCells count="41">
    <mergeCell ref="I40:I46"/>
    <mergeCell ref="D38:E38"/>
    <mergeCell ref="D10:D33"/>
    <mergeCell ref="I10:I33"/>
    <mergeCell ref="B4:C4"/>
    <mergeCell ref="B39:C39"/>
    <mergeCell ref="I4:J4"/>
    <mergeCell ref="G4:H4"/>
    <mergeCell ref="D4:E4"/>
    <mergeCell ref="H39:I39"/>
    <mergeCell ref="B8:C8"/>
    <mergeCell ref="D8:E8"/>
    <mergeCell ref="G8:H8"/>
    <mergeCell ref="I8:J8"/>
    <mergeCell ref="C9:D9"/>
    <mergeCell ref="H9:I9"/>
    <mergeCell ref="G5:H5"/>
    <mergeCell ref="I5:J5"/>
    <mergeCell ref="I7:J7"/>
    <mergeCell ref="I6:J6"/>
    <mergeCell ref="G6:H6"/>
    <mergeCell ref="G7:H7"/>
    <mergeCell ref="G3:H3"/>
    <mergeCell ref="I3:J3"/>
    <mergeCell ref="B1:E1"/>
    <mergeCell ref="G1:J1"/>
    <mergeCell ref="B2:C2"/>
    <mergeCell ref="D2:E2"/>
    <mergeCell ref="G2:H2"/>
    <mergeCell ref="I2:J2"/>
    <mergeCell ref="B38:C38"/>
    <mergeCell ref="D37:E37"/>
    <mergeCell ref="B37:C37"/>
    <mergeCell ref="B3:C3"/>
    <mergeCell ref="D3:E3"/>
    <mergeCell ref="B5:C5"/>
    <mergeCell ref="D5:E5"/>
    <mergeCell ref="D6:E6"/>
    <mergeCell ref="B6:C6"/>
    <mergeCell ref="B7:C7"/>
    <mergeCell ref="D7:E7"/>
  </mergeCells>
  <conditionalFormatting sqref="C12:C33">
    <cfRule type="cellIs" dxfId="77" priority="59" operator="greaterThan">
      <formula>0</formula>
    </cfRule>
  </conditionalFormatting>
  <conditionalFormatting sqref="D3 E10:E33 D37:D39">
    <cfRule type="cellIs" dxfId="76" priority="57" operator="greaterThan">
      <formula>0</formula>
    </cfRule>
    <cfRule type="cellIs" dxfId="75" priority="58" operator="greaterThan">
      <formula>""""""</formula>
    </cfRule>
  </conditionalFormatting>
  <conditionalFormatting sqref="J10:J33">
    <cfRule type="cellIs" dxfId="74" priority="53" operator="greaterThan">
      <formula>0</formula>
    </cfRule>
  </conditionalFormatting>
  <conditionalFormatting sqref="G3:J7 B37:C39">
    <cfRule type="cellIs" dxfId="73" priority="49" operator="greaterThan">
      <formula>0</formula>
    </cfRule>
  </conditionalFormatting>
  <conditionalFormatting sqref="I3:J7">
    <cfRule type="cellIs" dxfId="72" priority="48" operator="greaterThan">
      <formula>0</formula>
    </cfRule>
  </conditionalFormatting>
  <conditionalFormatting sqref="D8">
    <cfRule type="cellIs" dxfId="71" priority="43" operator="greaterThan">
      <formula>0</formula>
    </cfRule>
    <cfRule type="cellIs" dxfId="70" priority="44" operator="greaterThan">
      <formula>""""""</formula>
    </cfRule>
  </conditionalFormatting>
  <conditionalFormatting sqref="B5:C7">
    <cfRule type="cellIs" dxfId="69" priority="42" operator="greaterThan">
      <formula>0</formula>
    </cfRule>
  </conditionalFormatting>
  <conditionalFormatting sqref="D6:E7">
    <cfRule type="cellIs" dxfId="68" priority="41" operator="greaterThan">
      <formula>0</formula>
    </cfRule>
  </conditionalFormatting>
  <conditionalFormatting sqref="D6:E7">
    <cfRule type="cellIs" dxfId="67" priority="40" operator="greaterThan">
      <formula>0</formula>
    </cfRule>
  </conditionalFormatting>
  <conditionalFormatting sqref="B3:C3">
    <cfRule type="cellIs" dxfId="66" priority="37" operator="greaterThan">
      <formula>0</formula>
    </cfRule>
  </conditionalFormatting>
  <conditionalFormatting sqref="B4:C4">
    <cfRule type="cellIs" dxfId="65" priority="36" operator="greaterThan">
      <formula>0</formula>
    </cfRule>
  </conditionalFormatting>
  <conditionalFormatting sqref="B8:C8">
    <cfRule type="cellIs" dxfId="64" priority="35" operator="greaterThan">
      <formula>0</formula>
    </cfRule>
  </conditionalFormatting>
  <conditionalFormatting sqref="H10:H33">
    <cfRule type="cellIs" dxfId="63" priority="34" operator="greaterThan">
      <formula>0</formula>
    </cfRule>
  </conditionalFormatting>
  <conditionalFormatting sqref="D4:E5">
    <cfRule type="cellIs" dxfId="62" priority="23" operator="greaterThan">
      <formula>0</formula>
    </cfRule>
  </conditionalFormatting>
  <conditionalFormatting sqref="D4:E5">
    <cfRule type="cellIs" dxfId="61" priority="22" operator="greaterThan">
      <formula>0</formula>
    </cfRule>
  </conditionalFormatting>
  <conditionalFormatting sqref="C10">
    <cfRule type="cellIs" dxfId="60" priority="12" operator="greaterThan">
      <formula>0</formula>
    </cfRule>
  </conditionalFormatting>
  <conditionalFormatting sqref="C11">
    <cfRule type="cellIs" dxfId="59" priority="11" operator="greaterThan">
      <formula>0</formula>
    </cfRule>
  </conditionalFormatting>
  <conditionalFormatting sqref="H42:H43">
    <cfRule type="cellIs" dxfId="58" priority="1" operator="greaterThan">
      <formula>0</formula>
    </cfRule>
  </conditionalFormatting>
  <conditionalFormatting sqref="H44:H46">
    <cfRule type="cellIs" dxfId="57" priority="5" operator="greaterThan">
      <formula>0</formula>
    </cfRule>
  </conditionalFormatting>
  <conditionalFormatting sqref="J40:J46">
    <cfRule type="cellIs" dxfId="56" priority="3" operator="greaterThan">
      <formula>0</formula>
    </cfRule>
    <cfRule type="cellIs" dxfId="55" priority="4" operator="greaterThan">
      <formula>""""""</formula>
    </cfRule>
  </conditionalFormatting>
  <conditionalFormatting sqref="H41">
    <cfRule type="cellIs" dxfId="54" priority="2" operator="greaterThan">
      <formula>0</formula>
    </cfRule>
  </conditionalFormatting>
  <dataValidations disablePrompts="1" count="1">
    <dataValidation type="whole" operator="greaterThan" allowBlank="1" showInputMessage="1" showErrorMessage="1" sqref="C10:C33 D4:D5 H41:H46 D38:D39 I3:I8" xr:uid="{00000000-0002-0000-0400-000000000000}">
      <formula1>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zoomScale="120" zoomScaleNormal="120" workbookViewId="0">
      <selection activeCell="D13" sqref="D13:D18"/>
    </sheetView>
  </sheetViews>
  <sheetFormatPr baseColWidth="10" defaultColWidth="11.42578125" defaultRowHeight="15"/>
  <cols>
    <col min="1" max="1" width="4.85546875" style="62" customWidth="1"/>
    <col min="2" max="2" width="17.140625" style="62" customWidth="1"/>
    <col min="3" max="3" width="18" style="75" customWidth="1"/>
    <col min="4" max="4" width="15.28515625" style="62" customWidth="1"/>
    <col min="5" max="5" width="17.5703125" style="62" customWidth="1"/>
    <col min="6" max="6" width="5.42578125" style="62" customWidth="1"/>
    <col min="7" max="7" width="19.7109375" style="62" customWidth="1"/>
    <col min="8" max="8" width="21" style="62" customWidth="1"/>
    <col min="9" max="9" width="9.5703125" style="62" customWidth="1"/>
    <col min="10" max="10" width="20.28515625" style="62" bestFit="1" customWidth="1"/>
    <col min="11" max="16384" width="11.42578125" style="62"/>
  </cols>
  <sheetData>
    <row r="1" spans="2:10" ht="33.75" customHeight="1">
      <c r="B1" s="74" t="s">
        <v>2</v>
      </c>
      <c r="C1" s="247" t="s">
        <v>193</v>
      </c>
      <c r="D1" s="248"/>
      <c r="E1" s="74" t="s">
        <v>159</v>
      </c>
      <c r="G1" s="74" t="s">
        <v>2</v>
      </c>
      <c r="H1" s="254" t="s">
        <v>192</v>
      </c>
      <c r="I1" s="254"/>
      <c r="J1" s="74" t="s">
        <v>159</v>
      </c>
    </row>
    <row r="2" spans="2:10" ht="15.75" customHeight="1">
      <c r="B2" s="80">
        <v>45757</v>
      </c>
      <c r="C2" s="81">
        <v>27300000000</v>
      </c>
      <c r="D2" s="215">
        <f>SUM(C3:C8)/$C$2</f>
        <v>0.706959706959707</v>
      </c>
      <c r="E2" s="78">
        <f>+C2</f>
        <v>27300000000</v>
      </c>
      <c r="G2" s="80">
        <v>46020</v>
      </c>
      <c r="H2" s="81">
        <v>1462022598</v>
      </c>
      <c r="I2" s="215">
        <f>SUM(H3:H8)/$H$2</f>
        <v>0.55800631680797042</v>
      </c>
      <c r="J2" s="78">
        <f>+H2</f>
        <v>1462022598</v>
      </c>
    </row>
    <row r="3" spans="2:10" ht="15.75" customHeight="1">
      <c r="B3" s="77">
        <v>45594</v>
      </c>
      <c r="C3" s="78">
        <v>5000000000</v>
      </c>
      <c r="D3" s="216"/>
      <c r="E3" s="78">
        <f t="shared" ref="E3:E8" si="0">IF(C3="","",E2-C3)</f>
        <v>22300000000</v>
      </c>
      <c r="G3" s="154">
        <v>46044</v>
      </c>
      <c r="H3" s="78">
        <v>207173258</v>
      </c>
      <c r="I3" s="216"/>
      <c r="J3" s="78">
        <f t="shared" ref="J3:J8" si="1">+J2-H3</f>
        <v>1254849340</v>
      </c>
    </row>
    <row r="4" spans="2:10">
      <c r="B4" s="77">
        <v>45595</v>
      </c>
      <c r="C4" s="78">
        <v>1300000000</v>
      </c>
      <c r="D4" s="216"/>
      <c r="E4" s="78">
        <f t="shared" si="0"/>
        <v>21000000000</v>
      </c>
      <c r="G4" s="154">
        <v>46101</v>
      </c>
      <c r="H4" s="78">
        <v>608644587</v>
      </c>
      <c r="I4" s="216"/>
      <c r="J4" s="78">
        <f t="shared" si="1"/>
        <v>646204753</v>
      </c>
    </row>
    <row r="5" spans="2:10">
      <c r="B5" s="77">
        <v>46001</v>
      </c>
      <c r="C5" s="78">
        <v>6000000000</v>
      </c>
      <c r="D5" s="216"/>
      <c r="E5" s="78">
        <f t="shared" si="0"/>
        <v>15000000000</v>
      </c>
      <c r="G5" s="154"/>
      <c r="H5" s="78"/>
      <c r="I5" s="216"/>
      <c r="J5" s="78">
        <f t="shared" si="1"/>
        <v>646204753</v>
      </c>
    </row>
    <row r="6" spans="2:10">
      <c r="B6" s="77">
        <v>46118</v>
      </c>
      <c r="C6" s="78">
        <v>7000000000</v>
      </c>
      <c r="D6" s="216"/>
      <c r="E6" s="78">
        <f>IF(C6="","",E5-C6)</f>
        <v>8000000000</v>
      </c>
      <c r="G6" s="77"/>
      <c r="H6" s="78"/>
      <c r="I6" s="216"/>
      <c r="J6" s="78">
        <f t="shared" si="1"/>
        <v>646204753</v>
      </c>
    </row>
    <row r="7" spans="2:10">
      <c r="B7" s="77"/>
      <c r="C7" s="78"/>
      <c r="D7" s="216"/>
      <c r="E7" s="78" t="str">
        <f t="shared" si="0"/>
        <v/>
      </c>
      <c r="G7" s="77"/>
      <c r="H7" s="78"/>
      <c r="I7" s="216"/>
      <c r="J7" s="78">
        <f t="shared" si="1"/>
        <v>646204753</v>
      </c>
    </row>
    <row r="8" spans="2:10">
      <c r="B8" s="77"/>
      <c r="C8" s="78"/>
      <c r="D8" s="217"/>
      <c r="E8" s="78" t="str">
        <f t="shared" si="0"/>
        <v/>
      </c>
      <c r="G8" s="77"/>
      <c r="H8" s="78"/>
      <c r="I8" s="217"/>
      <c r="J8" s="78">
        <f t="shared" si="1"/>
        <v>646204753</v>
      </c>
    </row>
    <row r="11" spans="2:10" ht="14.45" customHeight="1"/>
    <row r="12" spans="2:10" ht="33" customHeight="1">
      <c r="B12" s="74" t="s">
        <v>2</v>
      </c>
      <c r="C12" s="254" t="s">
        <v>194</v>
      </c>
      <c r="D12" s="254"/>
      <c r="E12" s="74" t="s">
        <v>159</v>
      </c>
    </row>
    <row r="13" spans="2:10" ht="14.45" customHeight="1">
      <c r="B13" s="80">
        <v>45757</v>
      </c>
      <c r="C13" s="81">
        <v>26000000000</v>
      </c>
      <c r="D13" s="215">
        <f>SUM(C14:C18)/$C$2</f>
        <v>0.65934065934065933</v>
      </c>
      <c r="E13" s="78">
        <f>+C13</f>
        <v>26000000000</v>
      </c>
    </row>
    <row r="14" spans="2:10" ht="14.45" customHeight="1">
      <c r="B14" s="77">
        <v>45594</v>
      </c>
      <c r="C14" s="78">
        <v>5000000000</v>
      </c>
      <c r="D14" s="216"/>
      <c r="E14" s="78">
        <f>IF(C14="","",E13-C14)</f>
        <v>21000000000</v>
      </c>
    </row>
    <row r="15" spans="2:10" ht="14.45" customHeight="1">
      <c r="B15" s="77">
        <v>46001</v>
      </c>
      <c r="C15" s="78">
        <v>6000000000</v>
      </c>
      <c r="D15" s="216"/>
      <c r="E15" s="78">
        <f>IF(C15="","",E14-C15)</f>
        <v>15000000000</v>
      </c>
    </row>
    <row r="16" spans="2:10" ht="14.45" customHeight="1">
      <c r="B16" s="77">
        <v>46118</v>
      </c>
      <c r="C16" s="78">
        <v>7000000000</v>
      </c>
      <c r="D16" s="216"/>
      <c r="E16" s="78">
        <f>IF(C16="","",E15-C16)</f>
        <v>8000000000</v>
      </c>
    </row>
    <row r="17" spans="1:10" ht="14.45" customHeight="1">
      <c r="B17" s="77"/>
      <c r="C17" s="78"/>
      <c r="D17" s="216"/>
      <c r="E17" s="78" t="str">
        <f>IF(C17="","",E16-C17)</f>
        <v/>
      </c>
    </row>
    <row r="18" spans="1:10" ht="14.45" customHeight="1">
      <c r="B18" s="77"/>
      <c r="C18" s="78"/>
      <c r="D18" s="217"/>
      <c r="E18" s="78" t="str">
        <f>IF(C18="","",E17-C18)</f>
        <v/>
      </c>
    </row>
    <row r="19" spans="1:10" ht="14.45" customHeight="1">
      <c r="B19" s="82"/>
      <c r="C19" s="71"/>
      <c r="D19" s="83"/>
      <c r="E19" s="76"/>
    </row>
    <row r="20" spans="1:10" ht="14.45" customHeight="1"/>
    <row r="21" spans="1:10" ht="14.45" customHeight="1"/>
    <row r="22" spans="1:10" ht="14.45" customHeight="1"/>
    <row r="23" spans="1:10" ht="15.6" customHeight="1">
      <c r="B23" s="72" t="s">
        <v>2</v>
      </c>
      <c r="C23" s="261" t="s">
        <v>195</v>
      </c>
      <c r="D23" s="261"/>
      <c r="E23" s="72" t="s">
        <v>159</v>
      </c>
    </row>
    <row r="24" spans="1:10" ht="15.6" customHeight="1">
      <c r="B24" s="63">
        <v>45757</v>
      </c>
      <c r="C24" s="65">
        <v>5000000000</v>
      </c>
      <c r="D24" s="218">
        <f>SUM(C25:C34)/$C$24</f>
        <v>0.97764798279999998</v>
      </c>
      <c r="E24" s="66">
        <f>+C24</f>
        <v>5000000000</v>
      </c>
    </row>
    <row r="25" spans="1:10" ht="15.6" customHeight="1">
      <c r="A25" s="62">
        <v>1</v>
      </c>
      <c r="B25" s="64">
        <v>45881</v>
      </c>
      <c r="C25" s="66">
        <v>2200000000</v>
      </c>
      <c r="D25" s="219"/>
      <c r="E25" s="66">
        <f>IF(C25=0,0,E24-C25)</f>
        <v>2800000000</v>
      </c>
    </row>
    <row r="26" spans="1:10" ht="15.6" customHeight="1">
      <c r="A26" s="62">
        <v>2</v>
      </c>
      <c r="B26" s="64">
        <v>45902</v>
      </c>
      <c r="C26" s="66">
        <v>998095000</v>
      </c>
      <c r="D26" s="219"/>
      <c r="E26" s="66">
        <f t="shared" ref="E26:E35" si="2">IF(C26=0,0,E25-C26)</f>
        <v>1801905000</v>
      </c>
    </row>
    <row r="27" spans="1:10" ht="15.6" customHeight="1">
      <c r="A27" s="62">
        <v>3</v>
      </c>
      <c r="B27" s="64">
        <v>45915</v>
      </c>
      <c r="C27" s="66">
        <v>190754739</v>
      </c>
      <c r="D27" s="219"/>
      <c r="E27" s="66">
        <f t="shared" si="2"/>
        <v>1611150261</v>
      </c>
      <c r="H27" s="166"/>
    </row>
    <row r="28" spans="1:10" ht="15.6" customHeight="1">
      <c r="A28" s="62">
        <v>4</v>
      </c>
      <c r="B28" s="64">
        <v>45940</v>
      </c>
      <c r="C28" s="66">
        <v>13650000</v>
      </c>
      <c r="D28" s="219"/>
      <c r="E28" s="66">
        <f t="shared" si="2"/>
        <v>1597500261</v>
      </c>
    </row>
    <row r="29" spans="1:10" ht="15.6" customHeight="1">
      <c r="A29" s="62">
        <v>5</v>
      </c>
      <c r="B29" s="64">
        <v>45945</v>
      </c>
      <c r="C29" s="66">
        <v>95018644</v>
      </c>
      <c r="D29" s="219"/>
      <c r="E29" s="66">
        <f t="shared" si="2"/>
        <v>1502481617</v>
      </c>
    </row>
    <row r="30" spans="1:10" ht="15.6" customHeight="1">
      <c r="A30" s="62">
        <v>6</v>
      </c>
      <c r="B30" s="64">
        <v>45947</v>
      </c>
      <c r="C30" s="66">
        <v>730635725</v>
      </c>
      <c r="D30" s="219"/>
      <c r="E30" s="66">
        <f t="shared" si="2"/>
        <v>771845892</v>
      </c>
      <c r="H30" s="76"/>
    </row>
    <row r="31" spans="1:10" ht="15.6" customHeight="1">
      <c r="A31" s="62">
        <v>7</v>
      </c>
      <c r="B31" s="64">
        <v>45947</v>
      </c>
      <c r="C31" s="66">
        <v>211478886</v>
      </c>
      <c r="D31" s="219"/>
      <c r="E31" s="66">
        <f t="shared" si="2"/>
        <v>560367006</v>
      </c>
    </row>
    <row r="32" spans="1:10" ht="15.6" customHeight="1">
      <c r="A32" s="62">
        <v>8</v>
      </c>
      <c r="B32" s="64">
        <v>45985</v>
      </c>
      <c r="C32" s="66">
        <v>13650000</v>
      </c>
      <c r="D32" s="219"/>
      <c r="E32" s="66">
        <f t="shared" si="2"/>
        <v>546717006</v>
      </c>
      <c r="J32" s="168"/>
    </row>
    <row r="33" spans="1:10" ht="15.6" customHeight="1">
      <c r="A33" s="62">
        <v>9</v>
      </c>
      <c r="B33" s="64">
        <v>45985</v>
      </c>
      <c r="C33" s="66">
        <v>70856001</v>
      </c>
      <c r="D33" s="219"/>
      <c r="E33" s="66">
        <f t="shared" si="2"/>
        <v>475861005</v>
      </c>
      <c r="J33" s="166"/>
    </row>
    <row r="34" spans="1:10" ht="15.6" customHeight="1">
      <c r="A34" s="62">
        <v>10</v>
      </c>
      <c r="B34" s="64">
        <v>45985</v>
      </c>
      <c r="C34" s="66">
        <v>364100919</v>
      </c>
      <c r="D34" s="219"/>
      <c r="E34" s="66">
        <f t="shared" si="2"/>
        <v>111760086</v>
      </c>
      <c r="H34" s="76"/>
    </row>
    <row r="35" spans="1:10" ht="15.6" customHeight="1">
      <c r="B35" s="64"/>
      <c r="C35" s="66"/>
      <c r="D35" s="220"/>
      <c r="E35" s="66">
        <f t="shared" si="2"/>
        <v>0</v>
      </c>
    </row>
    <row r="36" spans="1:10" ht="15.6" customHeight="1">
      <c r="B36" s="145" t="s">
        <v>180</v>
      </c>
      <c r="C36" s="159">
        <f>SUM(C25:C35)</f>
        <v>4888239914</v>
      </c>
      <c r="D36" s="162">
        <f>1-D24</f>
        <v>2.2352017200000018E-2</v>
      </c>
      <c r="E36" s="161">
        <f>+C24-C36</f>
        <v>111760086</v>
      </c>
    </row>
    <row r="37" spans="1:10" ht="15.6" customHeight="1">
      <c r="C37" s="62"/>
    </row>
    <row r="38" spans="1:10" ht="15.6" customHeight="1">
      <c r="C38" s="62"/>
    </row>
    <row r="39" spans="1:10" ht="14.45" customHeight="1"/>
    <row r="40" spans="1:10" ht="21" customHeight="1">
      <c r="B40" s="163" t="s">
        <v>2</v>
      </c>
      <c r="C40" s="260" t="s">
        <v>195</v>
      </c>
      <c r="D40" s="260"/>
      <c r="E40" s="163" t="s">
        <v>159</v>
      </c>
    </row>
    <row r="41" spans="1:10" ht="14.45" customHeight="1">
      <c r="B41" s="63">
        <v>45985</v>
      </c>
      <c r="C41" s="65">
        <f>+E34</f>
        <v>111760086</v>
      </c>
      <c r="D41" s="257">
        <f>+SUM(C43:C71)/E42</f>
        <v>0.9999374065744373</v>
      </c>
      <c r="E41" s="66">
        <f>+C41</f>
        <v>111760086</v>
      </c>
    </row>
    <row r="42" spans="1:10" ht="14.45" customHeight="1">
      <c r="B42" s="63">
        <v>46001</v>
      </c>
      <c r="C42" s="65">
        <v>6000000000</v>
      </c>
      <c r="D42" s="258"/>
      <c r="E42" s="66">
        <f>+E41+C42</f>
        <v>6111760086</v>
      </c>
    </row>
    <row r="43" spans="1:10" ht="14.45" customHeight="1">
      <c r="B43" s="64" t="s">
        <v>168</v>
      </c>
      <c r="C43" s="66">
        <v>13650000</v>
      </c>
      <c r="D43" s="258"/>
      <c r="E43" s="66">
        <f>IF(C43=0,0,E42-C43)</f>
        <v>6098110086</v>
      </c>
    </row>
    <row r="44" spans="1:10" ht="14.45" customHeight="1">
      <c r="B44" s="64" t="s">
        <v>168</v>
      </c>
      <c r="C44" s="66">
        <v>1095953586</v>
      </c>
      <c r="D44" s="258"/>
      <c r="E44" s="66">
        <f t="shared" ref="E44:E71" si="3">IF(C44=0,0,E43-C44)</f>
        <v>5002156500</v>
      </c>
    </row>
    <row r="45" spans="1:10" ht="14.45" customHeight="1">
      <c r="B45" s="64" t="s">
        <v>169</v>
      </c>
      <c r="C45" s="66">
        <v>1299480</v>
      </c>
      <c r="D45" s="258"/>
      <c r="E45" s="66">
        <f t="shared" si="3"/>
        <v>5000857020</v>
      </c>
    </row>
    <row r="46" spans="1:10" ht="14.45" customHeight="1">
      <c r="B46" s="64" t="s">
        <v>169</v>
      </c>
      <c r="C46" s="66">
        <v>262400529</v>
      </c>
      <c r="D46" s="258"/>
      <c r="E46" s="66">
        <f t="shared" si="3"/>
        <v>4738456491</v>
      </c>
    </row>
    <row r="47" spans="1:10" ht="14.45" customHeight="1">
      <c r="B47" s="64" t="s">
        <v>170</v>
      </c>
      <c r="C47" s="66">
        <v>1539588229</v>
      </c>
      <c r="D47" s="258"/>
      <c r="E47" s="66">
        <f t="shared" si="3"/>
        <v>3198868262</v>
      </c>
    </row>
    <row r="48" spans="1:10" ht="14.45" customHeight="1">
      <c r="B48" s="64" t="s">
        <v>171</v>
      </c>
      <c r="C48" s="66">
        <v>105634262</v>
      </c>
      <c r="D48" s="258"/>
      <c r="E48" s="66">
        <f t="shared" si="3"/>
        <v>3093234000</v>
      </c>
    </row>
    <row r="49" spans="2:5" ht="14.45" customHeight="1">
      <c r="B49" s="64" t="s">
        <v>171</v>
      </c>
      <c r="C49" s="66">
        <v>378854365</v>
      </c>
      <c r="D49" s="258"/>
      <c r="E49" s="66">
        <f t="shared" si="3"/>
        <v>2714379635</v>
      </c>
    </row>
    <row r="50" spans="2:5" ht="14.45" customHeight="1">
      <c r="B50" s="64" t="s">
        <v>170</v>
      </c>
      <c r="C50" s="66">
        <v>13650000</v>
      </c>
      <c r="D50" s="258"/>
      <c r="E50" s="66">
        <f t="shared" si="3"/>
        <v>2700729635</v>
      </c>
    </row>
    <row r="51" spans="2:5" ht="14.45" customHeight="1">
      <c r="B51" s="64" t="s">
        <v>14</v>
      </c>
      <c r="C51" s="66">
        <v>1157936725</v>
      </c>
      <c r="D51" s="258"/>
      <c r="E51" s="66">
        <f t="shared" si="3"/>
        <v>1542792910</v>
      </c>
    </row>
    <row r="52" spans="2:5" ht="15.6" customHeight="1">
      <c r="B52" s="64" t="s">
        <v>14</v>
      </c>
      <c r="C52" s="66">
        <v>147868279</v>
      </c>
      <c r="D52" s="258"/>
      <c r="E52" s="66">
        <f t="shared" si="3"/>
        <v>1394924631</v>
      </c>
    </row>
    <row r="53" spans="2:5" ht="15.6" customHeight="1">
      <c r="B53" s="64" t="s">
        <v>14</v>
      </c>
      <c r="C53" s="66">
        <v>13991250</v>
      </c>
      <c r="D53" s="258"/>
      <c r="E53" s="66">
        <f t="shared" si="3"/>
        <v>1380933381</v>
      </c>
    </row>
    <row r="54" spans="2:5" ht="15.6" customHeight="1">
      <c r="B54" s="64" t="s">
        <v>122</v>
      </c>
      <c r="C54" s="66">
        <v>13991250</v>
      </c>
      <c r="D54" s="258"/>
      <c r="E54" s="66">
        <f t="shared" si="3"/>
        <v>1366942131</v>
      </c>
    </row>
    <row r="55" spans="2:5" ht="15.6" customHeight="1">
      <c r="B55" s="64" t="s">
        <v>124</v>
      </c>
      <c r="C55" s="66">
        <v>1331967</v>
      </c>
      <c r="D55" s="258"/>
      <c r="E55" s="66">
        <f t="shared" si="3"/>
        <v>1365610164</v>
      </c>
    </row>
    <row r="56" spans="2:5" ht="15.6" customHeight="1">
      <c r="B56" s="64" t="s">
        <v>124</v>
      </c>
      <c r="C56" s="66">
        <v>370527663</v>
      </c>
      <c r="D56" s="258"/>
      <c r="E56" s="66">
        <f t="shared" si="3"/>
        <v>995082501</v>
      </c>
    </row>
    <row r="57" spans="2:5" ht="15.6" customHeight="1">
      <c r="B57" s="64">
        <v>46128</v>
      </c>
      <c r="C57" s="66">
        <v>13991250</v>
      </c>
      <c r="D57" s="258"/>
      <c r="E57" s="66">
        <f t="shared" si="3"/>
        <v>981091251</v>
      </c>
    </row>
    <row r="58" spans="2:5" ht="15.6" customHeight="1">
      <c r="B58" s="64">
        <v>46129</v>
      </c>
      <c r="C58" s="66">
        <v>979376728</v>
      </c>
      <c r="D58" s="258"/>
      <c r="E58" s="66">
        <f t="shared" si="3"/>
        <v>1714523</v>
      </c>
    </row>
    <row r="59" spans="2:5" ht="15.6" customHeight="1">
      <c r="B59" s="64">
        <v>46129</v>
      </c>
      <c r="C59" s="66">
        <v>1331967</v>
      </c>
      <c r="D59" s="258"/>
      <c r="E59" s="66">
        <f t="shared" si="3"/>
        <v>382556</v>
      </c>
    </row>
    <row r="60" spans="2:5" ht="15.6" hidden="1" customHeight="1">
      <c r="B60" s="64"/>
      <c r="C60" s="66"/>
      <c r="D60" s="258"/>
      <c r="E60" s="66">
        <f t="shared" si="3"/>
        <v>0</v>
      </c>
    </row>
    <row r="61" spans="2:5" ht="15.6" hidden="1" customHeight="1">
      <c r="B61" s="64"/>
      <c r="C61" s="66"/>
      <c r="D61" s="258"/>
      <c r="E61" s="66">
        <f t="shared" si="3"/>
        <v>0</v>
      </c>
    </row>
    <row r="62" spans="2:5" ht="15.6" hidden="1" customHeight="1">
      <c r="B62" s="64"/>
      <c r="C62" s="66"/>
      <c r="D62" s="258"/>
      <c r="E62" s="66">
        <f t="shared" si="3"/>
        <v>0</v>
      </c>
    </row>
    <row r="63" spans="2:5" ht="15.6" hidden="1" customHeight="1">
      <c r="B63" s="64"/>
      <c r="C63" s="66"/>
      <c r="D63" s="258"/>
      <c r="E63" s="66">
        <f t="shared" si="3"/>
        <v>0</v>
      </c>
    </row>
    <row r="64" spans="2:5" ht="15.6" hidden="1" customHeight="1">
      <c r="B64" s="64"/>
      <c r="C64" s="66"/>
      <c r="D64" s="258"/>
      <c r="E64" s="66">
        <f t="shared" si="3"/>
        <v>0</v>
      </c>
    </row>
    <row r="65" spans="2:7" ht="15.6" hidden="1" customHeight="1">
      <c r="B65" s="64"/>
      <c r="C65" s="66"/>
      <c r="D65" s="258"/>
      <c r="E65" s="66">
        <f t="shared" si="3"/>
        <v>0</v>
      </c>
    </row>
    <row r="66" spans="2:7" ht="15.6" hidden="1" customHeight="1">
      <c r="B66" s="64"/>
      <c r="C66" s="66"/>
      <c r="D66" s="258"/>
      <c r="E66" s="66">
        <f t="shared" si="3"/>
        <v>0</v>
      </c>
    </row>
    <row r="67" spans="2:7" ht="15.6" hidden="1" customHeight="1">
      <c r="B67" s="64"/>
      <c r="C67" s="66"/>
      <c r="D67" s="258"/>
      <c r="E67" s="66">
        <f t="shared" si="3"/>
        <v>0</v>
      </c>
    </row>
    <row r="68" spans="2:7" ht="15.6" hidden="1" customHeight="1">
      <c r="B68" s="64"/>
      <c r="C68" s="66"/>
      <c r="D68" s="258"/>
      <c r="E68" s="66">
        <f t="shared" si="3"/>
        <v>0</v>
      </c>
    </row>
    <row r="69" spans="2:7" ht="15.6" hidden="1" customHeight="1">
      <c r="B69" s="64"/>
      <c r="C69" s="66"/>
      <c r="D69" s="258"/>
      <c r="E69" s="66">
        <f t="shared" si="3"/>
        <v>0</v>
      </c>
    </row>
    <row r="70" spans="2:7" ht="15.6" hidden="1" customHeight="1">
      <c r="B70" s="64"/>
      <c r="C70" s="66"/>
      <c r="D70" s="258"/>
      <c r="E70" s="66">
        <f t="shared" si="3"/>
        <v>0</v>
      </c>
    </row>
    <row r="71" spans="2:7" ht="15.6" hidden="1" customHeight="1">
      <c r="B71" s="64"/>
      <c r="C71" s="66"/>
      <c r="D71" s="259"/>
      <c r="E71" s="66">
        <f t="shared" si="3"/>
        <v>0</v>
      </c>
    </row>
    <row r="72" spans="2:7" ht="18.75">
      <c r="B72" s="145" t="s">
        <v>180</v>
      </c>
      <c r="C72" s="159">
        <f>SUM(C43:C71)</f>
        <v>6111377530</v>
      </c>
      <c r="D72" s="160">
        <f>1-D41</f>
        <v>6.259342556269587E-5</v>
      </c>
      <c r="E72" s="161">
        <f>+E42-C72</f>
        <v>382556</v>
      </c>
    </row>
    <row r="77" spans="2:7" ht="19.5">
      <c r="B77" s="163" t="s">
        <v>2</v>
      </c>
      <c r="C77" s="260" t="s">
        <v>195</v>
      </c>
      <c r="D77" s="260"/>
      <c r="E77" s="163" t="s">
        <v>159</v>
      </c>
    </row>
    <row r="78" spans="2:7" ht="15.75">
      <c r="B78" s="63">
        <f>+B59</f>
        <v>46129</v>
      </c>
      <c r="C78" s="65">
        <f>+E72</f>
        <v>382556</v>
      </c>
      <c r="D78" s="257">
        <f>+SUM(C80:C90)/E79</f>
        <v>0.33484815711834365</v>
      </c>
      <c r="E78" s="66">
        <f>+C78</f>
        <v>382556</v>
      </c>
    </row>
    <row r="79" spans="2:7" ht="15.75">
      <c r="B79" s="63" t="s">
        <v>196</v>
      </c>
      <c r="C79" s="65">
        <v>7000000000</v>
      </c>
      <c r="D79" s="258"/>
      <c r="E79" s="66">
        <f>+E78+C79</f>
        <v>7000382556</v>
      </c>
      <c r="G79" s="76"/>
    </row>
    <row r="80" spans="2:7" ht="15.75">
      <c r="B80" s="64">
        <v>46155</v>
      </c>
      <c r="C80" s="66">
        <v>13991250</v>
      </c>
      <c r="D80" s="258"/>
      <c r="E80" s="66">
        <f>IF(C80=0,0,E79-C80)</f>
        <v>6986391306</v>
      </c>
    </row>
    <row r="81" spans="2:8" ht="15.75">
      <c r="B81" s="64">
        <v>46155</v>
      </c>
      <c r="C81" s="66">
        <v>1331967</v>
      </c>
      <c r="D81" s="258"/>
      <c r="E81" s="66">
        <f t="shared" ref="E81:E90" si="4">IF(C81=0,0,E80-C81)</f>
        <v>6985059339</v>
      </c>
    </row>
    <row r="82" spans="2:8" ht="15.75">
      <c r="B82" s="64">
        <v>46155</v>
      </c>
      <c r="C82" s="66">
        <v>1801763757</v>
      </c>
      <c r="D82" s="258"/>
      <c r="E82" s="66">
        <f t="shared" si="4"/>
        <v>5183295582</v>
      </c>
      <c r="G82" s="169"/>
      <c r="H82" s="122"/>
    </row>
    <row r="83" spans="2:8" ht="15.75">
      <c r="B83" s="64">
        <f>+'Ejecución financiera CAS'!N14</f>
        <v>46191</v>
      </c>
      <c r="C83" s="66">
        <f>+'Ejecución financiera CAS'!O14</f>
        <v>526978224</v>
      </c>
      <c r="D83" s="258"/>
      <c r="E83" s="66">
        <f t="shared" si="4"/>
        <v>4656317358</v>
      </c>
      <c r="G83" s="169"/>
      <c r="H83" s="122"/>
    </row>
    <row r="84" spans="2:8" ht="15.75">
      <c r="B84" s="64"/>
      <c r="C84" s="66"/>
      <c r="D84" s="258"/>
      <c r="E84" s="66">
        <f t="shared" si="4"/>
        <v>0</v>
      </c>
      <c r="G84" s="169"/>
      <c r="H84" s="122"/>
    </row>
    <row r="85" spans="2:8" ht="15.75">
      <c r="B85" s="64"/>
      <c r="C85" s="66"/>
      <c r="D85" s="258"/>
      <c r="E85" s="66">
        <f t="shared" si="4"/>
        <v>0</v>
      </c>
    </row>
    <row r="86" spans="2:8" ht="15.75">
      <c r="B86" s="64"/>
      <c r="C86" s="66"/>
      <c r="D86" s="258"/>
      <c r="E86" s="66">
        <f t="shared" si="4"/>
        <v>0</v>
      </c>
    </row>
    <row r="87" spans="2:8" ht="15.75">
      <c r="B87" s="64"/>
      <c r="C87" s="66"/>
      <c r="D87" s="258"/>
      <c r="E87" s="66">
        <f t="shared" si="4"/>
        <v>0</v>
      </c>
    </row>
    <row r="88" spans="2:8" ht="15.75">
      <c r="B88" s="64"/>
      <c r="C88" s="66"/>
      <c r="D88" s="258"/>
      <c r="E88" s="66">
        <f t="shared" si="4"/>
        <v>0</v>
      </c>
    </row>
    <row r="89" spans="2:8" ht="15.75">
      <c r="B89" s="64"/>
      <c r="C89" s="66"/>
      <c r="D89" s="258"/>
      <c r="E89" s="66">
        <f t="shared" si="4"/>
        <v>0</v>
      </c>
    </row>
    <row r="90" spans="2:8" ht="15.75">
      <c r="B90" s="64"/>
      <c r="C90" s="66"/>
      <c r="D90" s="258"/>
      <c r="E90" s="66">
        <f t="shared" si="4"/>
        <v>0</v>
      </c>
    </row>
    <row r="91" spans="2:8" ht="18.75">
      <c r="B91" s="145" t="s">
        <v>180</v>
      </c>
      <c r="C91" s="159">
        <f>SUM(C80:C90)</f>
        <v>2344065198</v>
      </c>
      <c r="D91" s="160">
        <f>1-D78</f>
        <v>0.6651518428816563</v>
      </c>
      <c r="E91" s="161">
        <f>+E79-C91</f>
        <v>4656317358</v>
      </c>
    </row>
  </sheetData>
  <mergeCells count="12">
    <mergeCell ref="H1:I1"/>
    <mergeCell ref="I2:I8"/>
    <mergeCell ref="C23:D23"/>
    <mergeCell ref="C1:D1"/>
    <mergeCell ref="C12:D12"/>
    <mergeCell ref="D13:D18"/>
    <mergeCell ref="D2:D8"/>
    <mergeCell ref="D41:D71"/>
    <mergeCell ref="C77:D77"/>
    <mergeCell ref="D78:D90"/>
    <mergeCell ref="D24:D35"/>
    <mergeCell ref="C40:D40"/>
  </mergeCells>
  <conditionalFormatting sqref="C14:C19 C3:C8 C35">
    <cfRule type="cellIs" dxfId="53" priority="103" operator="greaterThan">
      <formula>0</formula>
    </cfRule>
  </conditionalFormatting>
  <conditionalFormatting sqref="E2:E8 E24:E35 E41:E71 E78:E90">
    <cfRule type="cellIs" dxfId="52" priority="101" operator="greaterThan">
      <formula>0</formula>
    </cfRule>
    <cfRule type="cellIs" dxfId="51" priority="102" operator="greaterThan">
      <formula>""""""</formula>
    </cfRule>
  </conditionalFormatting>
  <conditionalFormatting sqref="E13">
    <cfRule type="cellIs" dxfId="50" priority="91" operator="greaterThan">
      <formula>0</formula>
    </cfRule>
    <cfRule type="cellIs" dxfId="49" priority="92" operator="greaterThan">
      <formula>""""""</formula>
    </cfRule>
  </conditionalFormatting>
  <conditionalFormatting sqref="E19">
    <cfRule type="cellIs" dxfId="48" priority="89" operator="greaterThan">
      <formula>0</formula>
    </cfRule>
    <cfRule type="cellIs" dxfId="47" priority="90" operator="greaterThan">
      <formula>""""""</formula>
    </cfRule>
  </conditionalFormatting>
  <conditionalFormatting sqref="C28:C31">
    <cfRule type="cellIs" dxfId="46" priority="83" operator="greaterThan">
      <formula>0</formula>
    </cfRule>
  </conditionalFormatting>
  <conditionalFormatting sqref="C25:C27">
    <cfRule type="cellIs" dxfId="45" priority="80" operator="greaterThan">
      <formula>0</formula>
    </cfRule>
  </conditionalFormatting>
  <conditionalFormatting sqref="C32:C34">
    <cfRule type="cellIs" dxfId="44" priority="79" operator="greaterThan">
      <formula>0</formula>
    </cfRule>
  </conditionalFormatting>
  <conditionalFormatting sqref="E14:E18">
    <cfRule type="cellIs" dxfId="43" priority="77" operator="greaterThan">
      <formula>0</formula>
    </cfRule>
    <cfRule type="cellIs" dxfId="42" priority="78" operator="greaterThan">
      <formula>""""""</formula>
    </cfRule>
  </conditionalFormatting>
  <conditionalFormatting sqref="C71">
    <cfRule type="cellIs" dxfId="41" priority="59" operator="greaterThan">
      <formula>0</formula>
    </cfRule>
  </conditionalFormatting>
  <conditionalFormatting sqref="C43">
    <cfRule type="cellIs" dxfId="40" priority="50" operator="greaterThan">
      <formula>0</formula>
    </cfRule>
  </conditionalFormatting>
  <conditionalFormatting sqref="C44">
    <cfRule type="cellIs" dxfId="39" priority="48" operator="greaterThan">
      <formula>0</formula>
    </cfRule>
  </conditionalFormatting>
  <conditionalFormatting sqref="C45">
    <cfRule type="cellIs" dxfId="38" priority="47" operator="greaterThan">
      <formula>0</formula>
    </cfRule>
  </conditionalFormatting>
  <conditionalFormatting sqref="C46">
    <cfRule type="cellIs" dxfId="37" priority="45" operator="greaterThan">
      <formula>0</formula>
    </cfRule>
  </conditionalFormatting>
  <conditionalFormatting sqref="C47">
    <cfRule type="cellIs" dxfId="36" priority="44" operator="greaterThan">
      <formula>0</formula>
    </cfRule>
  </conditionalFormatting>
  <conditionalFormatting sqref="C48">
    <cfRule type="cellIs" dxfId="35" priority="43" operator="greaterThan">
      <formula>0</formula>
    </cfRule>
  </conditionalFormatting>
  <conditionalFormatting sqref="C49">
    <cfRule type="cellIs" dxfId="34" priority="42" operator="greaterThan">
      <formula>0</formula>
    </cfRule>
  </conditionalFormatting>
  <conditionalFormatting sqref="C50">
    <cfRule type="cellIs" dxfId="33" priority="41" operator="greaterThan">
      <formula>0</formula>
    </cfRule>
  </conditionalFormatting>
  <conditionalFormatting sqref="C51">
    <cfRule type="cellIs" dxfId="32" priority="40" operator="greaterThan">
      <formula>0</formula>
    </cfRule>
  </conditionalFormatting>
  <conditionalFormatting sqref="C52">
    <cfRule type="cellIs" dxfId="31" priority="39" operator="greaterThan">
      <formula>0</formula>
    </cfRule>
  </conditionalFormatting>
  <conditionalFormatting sqref="C53">
    <cfRule type="cellIs" dxfId="30" priority="38" operator="greaterThan">
      <formula>0</formula>
    </cfRule>
  </conditionalFormatting>
  <conditionalFormatting sqref="C54">
    <cfRule type="cellIs" dxfId="29" priority="37" operator="greaterThan">
      <formula>0</formula>
    </cfRule>
  </conditionalFormatting>
  <conditionalFormatting sqref="C55">
    <cfRule type="cellIs" dxfId="28" priority="36" operator="greaterThan">
      <formula>0</formula>
    </cfRule>
  </conditionalFormatting>
  <conditionalFormatting sqref="C56">
    <cfRule type="cellIs" dxfId="27" priority="35" operator="greaterThan">
      <formula>0</formula>
    </cfRule>
  </conditionalFormatting>
  <conditionalFormatting sqref="C57">
    <cfRule type="cellIs" dxfId="26" priority="34" operator="greaterThan">
      <formula>0</formula>
    </cfRule>
  </conditionalFormatting>
  <conditionalFormatting sqref="C58">
    <cfRule type="cellIs" dxfId="25" priority="33" operator="greaterThan">
      <formula>0</formula>
    </cfRule>
  </conditionalFormatting>
  <conditionalFormatting sqref="C59:C70">
    <cfRule type="cellIs" dxfId="24" priority="32" operator="greaterThan">
      <formula>0</formula>
    </cfRule>
  </conditionalFormatting>
  <conditionalFormatting sqref="C84">
    <cfRule type="cellIs" dxfId="23" priority="23" operator="greaterThan">
      <formula>0</formula>
    </cfRule>
  </conditionalFormatting>
  <conditionalFormatting sqref="C85">
    <cfRule type="cellIs" dxfId="22" priority="22" operator="greaterThan">
      <formula>0</formula>
    </cfRule>
  </conditionalFormatting>
  <conditionalFormatting sqref="C86">
    <cfRule type="cellIs" dxfId="21" priority="21" operator="greaterThan">
      <formula>0</formula>
    </cfRule>
  </conditionalFormatting>
  <conditionalFormatting sqref="C87">
    <cfRule type="cellIs" dxfId="20" priority="20" operator="greaterThan">
      <formula>0</formula>
    </cfRule>
  </conditionalFormatting>
  <conditionalFormatting sqref="C88">
    <cfRule type="cellIs" dxfId="19" priority="19" operator="greaterThan">
      <formula>0</formula>
    </cfRule>
  </conditionalFormatting>
  <conditionalFormatting sqref="C89">
    <cfRule type="cellIs" dxfId="18" priority="18" operator="greaterThan">
      <formula>0</formula>
    </cfRule>
  </conditionalFormatting>
  <conditionalFormatting sqref="C90">
    <cfRule type="cellIs" dxfId="17" priority="17" operator="greaterThan">
      <formula>0</formula>
    </cfRule>
  </conditionalFormatting>
  <conditionalFormatting sqref="C80:C82">
    <cfRule type="cellIs" dxfId="16" priority="10" operator="greaterThan">
      <formula>0</formula>
    </cfRule>
  </conditionalFormatting>
  <conditionalFormatting sqref="H4:H5">
    <cfRule type="cellIs" dxfId="15" priority="2" operator="greaterThan">
      <formula>0</formula>
    </cfRule>
  </conditionalFormatting>
  <conditionalFormatting sqref="H6:H8">
    <cfRule type="cellIs" dxfId="14" priority="6" operator="greaterThan">
      <formula>0</formula>
    </cfRule>
  </conditionalFormatting>
  <conditionalFormatting sqref="J2:J8">
    <cfRule type="cellIs" dxfId="13" priority="4" operator="greaterThan">
      <formula>0</formula>
    </cfRule>
    <cfRule type="cellIs" dxfId="12" priority="5" operator="greaterThan">
      <formula>""""""</formula>
    </cfRule>
  </conditionalFormatting>
  <conditionalFormatting sqref="H3">
    <cfRule type="cellIs" dxfId="11" priority="3" operator="greaterThan">
      <formula>0</formula>
    </cfRule>
  </conditionalFormatting>
  <conditionalFormatting sqref="C83">
    <cfRule type="cellIs" dxfId="10" priority="1" operator="greaterThan">
      <formula>0</formula>
    </cfRule>
  </conditionalFormatting>
  <dataValidations count="1">
    <dataValidation type="whole" operator="greaterThan" allowBlank="1" showInputMessage="1" showErrorMessage="1" sqref="C5:C8 C26:C35 C43:C51 C53:C71 H3:H8 C15:C19 C80:C82 C84:C88 C90" xr:uid="{00000000-0002-0000-0500-000000000000}">
      <formula1>0</formula1>
    </dataValidation>
  </dataValidations>
  <pageMargins left="0.7" right="0.7" top="0.75" bottom="0.75" header="0.3" footer="0.3"/>
  <pageSetup orientation="portrait" horizontalDpi="4294967295" verticalDpi="4294967295" r:id="rId1"/>
  <ignoredErrors>
    <ignoredError sqref="D41" formulaRange="1"/>
    <ignoredError sqref="E84:E90" emptyCellReferenc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workbookViewId="0">
      <selection activeCell="E22" sqref="E22"/>
    </sheetView>
  </sheetViews>
  <sheetFormatPr baseColWidth="10" defaultColWidth="11.42578125" defaultRowHeight="15.75"/>
  <cols>
    <col min="1" max="1" width="13.7109375" style="125" customWidth="1"/>
    <col min="2" max="3" width="11.5703125" style="124" bestFit="1" customWidth="1"/>
    <col min="4" max="4" width="11.42578125" style="124"/>
  </cols>
  <sheetData>
    <row r="1" spans="1:5" s="133" customFormat="1" ht="36">
      <c r="A1" s="118" t="s">
        <v>197</v>
      </c>
      <c r="B1" s="134" t="s">
        <v>198</v>
      </c>
      <c r="C1" s="118" t="s">
        <v>199</v>
      </c>
      <c r="D1" s="118" t="s">
        <v>200</v>
      </c>
      <c r="E1" s="149">
        <v>38</v>
      </c>
    </row>
    <row r="2" spans="1:5" ht="15.75" customHeight="1">
      <c r="A2" s="131">
        <v>45626</v>
      </c>
      <c r="B2" s="130">
        <v>1</v>
      </c>
      <c r="C2" s="129">
        <f t="shared" ref="C2:C39" si="0">+B2/$E$1</f>
        <v>2.6315789473684209E-2</v>
      </c>
      <c r="D2" s="132"/>
    </row>
    <row r="3" spans="1:5" ht="15" customHeight="1">
      <c r="A3" s="131">
        <v>45657</v>
      </c>
      <c r="B3" s="130">
        <v>2</v>
      </c>
      <c r="C3" s="129">
        <f t="shared" si="0"/>
        <v>5.2631578947368418E-2</v>
      </c>
    </row>
    <row r="4" spans="1:5" ht="15" customHeight="1">
      <c r="A4" s="131">
        <v>45688</v>
      </c>
      <c r="B4" s="130">
        <v>3</v>
      </c>
      <c r="C4" s="129">
        <f t="shared" si="0"/>
        <v>7.8947368421052627E-2</v>
      </c>
    </row>
    <row r="5" spans="1:5" ht="15" customHeight="1">
      <c r="A5" s="131">
        <v>45716</v>
      </c>
      <c r="B5" s="130">
        <v>4</v>
      </c>
      <c r="C5" s="129">
        <f t="shared" si="0"/>
        <v>0.10526315789473684</v>
      </c>
    </row>
    <row r="6" spans="1:5" ht="15" customHeight="1">
      <c r="A6" s="131">
        <v>45747</v>
      </c>
      <c r="B6" s="130">
        <v>5</v>
      </c>
      <c r="C6" s="129">
        <f t="shared" si="0"/>
        <v>0.13157894736842105</v>
      </c>
    </row>
    <row r="7" spans="1:5" ht="15" customHeight="1">
      <c r="A7" s="131">
        <v>45777</v>
      </c>
      <c r="B7" s="130">
        <v>6</v>
      </c>
      <c r="C7" s="129">
        <f t="shared" si="0"/>
        <v>0.15789473684210525</v>
      </c>
    </row>
    <row r="8" spans="1:5" ht="15" customHeight="1">
      <c r="A8" s="131">
        <v>45808</v>
      </c>
      <c r="B8" s="130">
        <v>7</v>
      </c>
      <c r="C8" s="129">
        <f t="shared" si="0"/>
        <v>0.18421052631578946</v>
      </c>
    </row>
    <row r="9" spans="1:5" ht="15" customHeight="1">
      <c r="A9" s="131">
        <v>45838</v>
      </c>
      <c r="B9" s="130">
        <v>8</v>
      </c>
      <c r="C9" s="129">
        <f t="shared" si="0"/>
        <v>0.21052631578947367</v>
      </c>
    </row>
    <row r="10" spans="1:5" ht="15" customHeight="1">
      <c r="A10" s="131">
        <v>45869</v>
      </c>
      <c r="B10" s="130">
        <v>9</v>
      </c>
      <c r="C10" s="129">
        <f t="shared" si="0"/>
        <v>0.23684210526315788</v>
      </c>
    </row>
    <row r="11" spans="1:5" ht="15" customHeight="1">
      <c r="A11" s="131">
        <v>45900</v>
      </c>
      <c r="B11" s="130">
        <v>10</v>
      </c>
      <c r="C11" s="129">
        <f t="shared" si="0"/>
        <v>0.26315789473684209</v>
      </c>
    </row>
    <row r="12" spans="1:5" ht="15.75" customHeight="1">
      <c r="A12" s="131">
        <v>45930</v>
      </c>
      <c r="B12" s="130">
        <v>11</v>
      </c>
      <c r="C12" s="129">
        <f t="shared" si="0"/>
        <v>0.28947368421052633</v>
      </c>
    </row>
    <row r="13" spans="1:5" ht="15.75" customHeight="1">
      <c r="A13" s="131">
        <v>45961</v>
      </c>
      <c r="B13" s="130">
        <v>12</v>
      </c>
      <c r="C13" s="129">
        <f t="shared" si="0"/>
        <v>0.31578947368421051</v>
      </c>
    </row>
    <row r="14" spans="1:5" ht="15.75" customHeight="1">
      <c r="A14" s="131">
        <v>45991</v>
      </c>
      <c r="B14" s="130">
        <v>13</v>
      </c>
      <c r="C14" s="129">
        <f t="shared" si="0"/>
        <v>0.34210526315789475</v>
      </c>
    </row>
    <row r="15" spans="1:5" ht="15.75" customHeight="1">
      <c r="A15" s="131">
        <v>46022</v>
      </c>
      <c r="B15" s="130">
        <v>14</v>
      </c>
      <c r="C15" s="129">
        <f t="shared" si="0"/>
        <v>0.36842105263157893</v>
      </c>
    </row>
    <row r="16" spans="1:5" ht="15.75" customHeight="1">
      <c r="A16" s="131">
        <v>46053</v>
      </c>
      <c r="B16" s="130">
        <v>15</v>
      </c>
      <c r="C16" s="129">
        <f t="shared" si="0"/>
        <v>0.39473684210526316</v>
      </c>
    </row>
    <row r="17" spans="1:5" ht="15.75" customHeight="1">
      <c r="A17" s="131">
        <v>46081</v>
      </c>
      <c r="B17" s="130">
        <v>16</v>
      </c>
      <c r="C17" s="129">
        <f t="shared" si="0"/>
        <v>0.42105263157894735</v>
      </c>
    </row>
    <row r="18" spans="1:5" ht="15.75" customHeight="1">
      <c r="A18" s="131">
        <v>46112</v>
      </c>
      <c r="B18" s="130">
        <v>17</v>
      </c>
      <c r="C18" s="129">
        <f t="shared" si="0"/>
        <v>0.44736842105263158</v>
      </c>
    </row>
    <row r="19" spans="1:5" ht="15.75" customHeight="1">
      <c r="A19" s="131">
        <v>46142</v>
      </c>
      <c r="B19" s="130">
        <v>18</v>
      </c>
      <c r="C19" s="129">
        <f t="shared" si="0"/>
        <v>0.47368421052631576</v>
      </c>
    </row>
    <row r="20" spans="1:5" ht="15.75" customHeight="1">
      <c r="A20" s="131">
        <v>46173</v>
      </c>
      <c r="B20" s="130">
        <v>19</v>
      </c>
      <c r="C20" s="129">
        <f t="shared" si="0"/>
        <v>0.5</v>
      </c>
    </row>
    <row r="21" spans="1:5" ht="15.75" customHeight="1">
      <c r="A21" s="131">
        <v>46203</v>
      </c>
      <c r="B21" s="130">
        <v>20</v>
      </c>
      <c r="C21" s="129">
        <f t="shared" si="0"/>
        <v>0.52631578947368418</v>
      </c>
    </row>
    <row r="22" spans="1:5" ht="15.75" customHeight="1">
      <c r="A22" s="131">
        <v>46234</v>
      </c>
      <c r="B22" s="130">
        <v>21</v>
      </c>
      <c r="C22" s="129">
        <f t="shared" si="0"/>
        <v>0.55263157894736847</v>
      </c>
      <c r="E22" s="190">
        <f>+C22-C19</f>
        <v>7.894736842105271E-2</v>
      </c>
    </row>
    <row r="23" spans="1:5" ht="15.75" customHeight="1">
      <c r="A23" s="128">
        <v>46265</v>
      </c>
      <c r="B23" s="127">
        <v>22</v>
      </c>
      <c r="C23" s="126">
        <f t="shared" si="0"/>
        <v>0.57894736842105265</v>
      </c>
    </row>
    <row r="24" spans="1:5" ht="15.75" customHeight="1">
      <c r="A24" s="128">
        <v>46295</v>
      </c>
      <c r="B24" s="127">
        <v>23</v>
      </c>
      <c r="C24" s="126">
        <f t="shared" si="0"/>
        <v>0.60526315789473684</v>
      </c>
    </row>
    <row r="25" spans="1:5" ht="15.75" customHeight="1">
      <c r="A25" s="128">
        <v>46326</v>
      </c>
      <c r="B25" s="127">
        <v>24</v>
      </c>
      <c r="C25" s="126">
        <f t="shared" si="0"/>
        <v>0.63157894736842102</v>
      </c>
    </row>
    <row r="26" spans="1:5" ht="15.75" customHeight="1">
      <c r="A26" s="128">
        <v>46356</v>
      </c>
      <c r="B26" s="127">
        <v>25</v>
      </c>
      <c r="C26" s="126">
        <f t="shared" si="0"/>
        <v>0.65789473684210531</v>
      </c>
    </row>
    <row r="27" spans="1:5" ht="15.75" customHeight="1">
      <c r="A27" s="128">
        <v>46387</v>
      </c>
      <c r="B27" s="127">
        <v>26</v>
      </c>
      <c r="C27" s="126">
        <f t="shared" si="0"/>
        <v>0.68421052631578949</v>
      </c>
    </row>
    <row r="28" spans="1:5" ht="15.75" customHeight="1">
      <c r="A28" s="128">
        <v>46418</v>
      </c>
      <c r="B28" s="127">
        <v>27</v>
      </c>
      <c r="C28" s="126">
        <f t="shared" si="0"/>
        <v>0.71052631578947367</v>
      </c>
    </row>
    <row r="29" spans="1:5" ht="15.75" customHeight="1">
      <c r="A29" s="128">
        <v>46446</v>
      </c>
      <c r="B29" s="127">
        <v>28</v>
      </c>
      <c r="C29" s="126">
        <f t="shared" si="0"/>
        <v>0.73684210526315785</v>
      </c>
    </row>
    <row r="30" spans="1:5" ht="15.75" customHeight="1">
      <c r="A30" s="128">
        <v>46477</v>
      </c>
      <c r="B30" s="127">
        <v>29</v>
      </c>
      <c r="C30" s="126">
        <f t="shared" si="0"/>
        <v>0.76315789473684215</v>
      </c>
    </row>
    <row r="31" spans="1:5" ht="15.75" customHeight="1">
      <c r="A31" s="128">
        <v>46507</v>
      </c>
      <c r="B31" s="127">
        <v>30</v>
      </c>
      <c r="C31" s="126">
        <f t="shared" si="0"/>
        <v>0.78947368421052633</v>
      </c>
    </row>
    <row r="32" spans="1:5" ht="15.75" customHeight="1">
      <c r="A32" s="128">
        <v>46538</v>
      </c>
      <c r="B32" s="127">
        <v>31</v>
      </c>
      <c r="C32" s="126">
        <f t="shared" si="0"/>
        <v>0.81578947368421051</v>
      </c>
    </row>
    <row r="33" spans="1:3" ht="15.75" customHeight="1">
      <c r="A33" s="128">
        <v>46568</v>
      </c>
      <c r="B33" s="127">
        <v>32</v>
      </c>
      <c r="C33" s="126">
        <f t="shared" si="0"/>
        <v>0.84210526315789469</v>
      </c>
    </row>
    <row r="34" spans="1:3" ht="15.75" customHeight="1">
      <c r="A34" s="128">
        <v>46599</v>
      </c>
      <c r="B34" s="127">
        <v>33</v>
      </c>
      <c r="C34" s="126">
        <f t="shared" si="0"/>
        <v>0.86842105263157898</v>
      </c>
    </row>
    <row r="35" spans="1:3" ht="15.75" customHeight="1">
      <c r="A35" s="128">
        <v>46630</v>
      </c>
      <c r="B35" s="127">
        <v>34</v>
      </c>
      <c r="C35" s="126">
        <f t="shared" si="0"/>
        <v>0.89473684210526316</v>
      </c>
    </row>
    <row r="36" spans="1:3" ht="15.75" customHeight="1">
      <c r="A36" s="128">
        <v>46660</v>
      </c>
      <c r="B36" s="127">
        <v>35</v>
      </c>
      <c r="C36" s="126">
        <f t="shared" si="0"/>
        <v>0.92105263157894735</v>
      </c>
    </row>
    <row r="37" spans="1:3" ht="15.75" customHeight="1">
      <c r="A37" s="128">
        <v>46691</v>
      </c>
      <c r="B37" s="127">
        <v>36</v>
      </c>
      <c r="C37" s="126">
        <f t="shared" si="0"/>
        <v>0.94736842105263153</v>
      </c>
    </row>
    <row r="38" spans="1:3" ht="15.75" customHeight="1">
      <c r="A38" s="128">
        <v>46721</v>
      </c>
      <c r="B38" s="127">
        <v>37</v>
      </c>
      <c r="C38" s="126">
        <f t="shared" si="0"/>
        <v>0.97368421052631582</v>
      </c>
    </row>
    <row r="39" spans="1:3" ht="15.75" customHeight="1">
      <c r="A39" s="128">
        <v>46752</v>
      </c>
      <c r="B39" s="127">
        <v>38</v>
      </c>
      <c r="C39" s="126">
        <f t="shared" si="0"/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0CC9-0E90-48A2-81D2-8961C5CB63A9}">
  <dimension ref="C1:D11"/>
  <sheetViews>
    <sheetView workbookViewId="0">
      <selection activeCell="G16" sqref="G16"/>
    </sheetView>
  </sheetViews>
  <sheetFormatPr baseColWidth="10" defaultColWidth="11.42578125" defaultRowHeight="15"/>
  <cols>
    <col min="1" max="2" width="11.42578125" style="184"/>
    <col min="3" max="3" width="11.85546875" style="184" bestFit="1" customWidth="1"/>
    <col min="4" max="4" width="19.7109375" style="184" bestFit="1" customWidth="1"/>
    <col min="5" max="16384" width="11.42578125" style="184"/>
  </cols>
  <sheetData>
    <row r="1" spans="3:4" ht="15.75">
      <c r="C1" s="262" t="s">
        <v>201</v>
      </c>
      <c r="D1" s="262"/>
    </row>
    <row r="2" spans="3:4" ht="15.75">
      <c r="C2" s="187"/>
      <c r="D2" s="185">
        <v>7000000000</v>
      </c>
    </row>
    <row r="3" spans="3:4" ht="15.75">
      <c r="C3" s="187"/>
      <c r="D3" s="187"/>
    </row>
    <row r="4" spans="3:4" ht="15.75">
      <c r="C4" s="72" t="s">
        <v>2</v>
      </c>
      <c r="D4" s="72" t="s">
        <v>202</v>
      </c>
    </row>
    <row r="5" spans="3:4" ht="15.75">
      <c r="C5" s="64">
        <v>46171</v>
      </c>
      <c r="D5" s="186">
        <v>1817086974</v>
      </c>
    </row>
    <row r="6" spans="3:4" ht="15.75">
      <c r="C6" s="64">
        <v>46191</v>
      </c>
      <c r="D6" s="186">
        <v>526978224</v>
      </c>
    </row>
    <row r="7" spans="3:4" ht="15.75">
      <c r="C7" s="64">
        <v>46220</v>
      </c>
      <c r="D7" s="186">
        <v>526978224</v>
      </c>
    </row>
    <row r="8" spans="3:4" ht="15.75">
      <c r="C8" s="64" t="s">
        <v>203</v>
      </c>
      <c r="D8" s="186">
        <f>SUM(D5:D7)</f>
        <v>2871043422</v>
      </c>
    </row>
    <row r="9" spans="3:4" ht="15.75">
      <c r="C9" s="187"/>
      <c r="D9" s="187"/>
    </row>
    <row r="10" spans="3:4" ht="15.75">
      <c r="C10" s="262" t="s">
        <v>204</v>
      </c>
      <c r="D10" s="262"/>
    </row>
    <row r="11" spans="3:4" ht="15.75">
      <c r="C11" s="187"/>
      <c r="D11" s="186">
        <f>7000000000-SUM(D5:D7)</f>
        <v>4128956578</v>
      </c>
    </row>
  </sheetData>
  <mergeCells count="2">
    <mergeCell ref="C10:D10"/>
    <mergeCell ref="C1:D1"/>
  </mergeCells>
  <conditionalFormatting sqref="D5:D6">
    <cfRule type="cellIs" dxfId="9" priority="10" operator="greaterThan">
      <formula>0</formula>
    </cfRule>
  </conditionalFormatting>
  <conditionalFormatting sqref="D5:D6">
    <cfRule type="cellIs" dxfId="8" priority="9" operator="greaterThan">
      <formula>0</formula>
    </cfRule>
  </conditionalFormatting>
  <conditionalFormatting sqref="D7">
    <cfRule type="cellIs" dxfId="7" priority="8" operator="greaterThan">
      <formula>0</formula>
    </cfRule>
  </conditionalFormatting>
  <conditionalFormatting sqref="D7">
    <cfRule type="cellIs" dxfId="6" priority="7" operator="greaterThan">
      <formula>0</formula>
    </cfRule>
  </conditionalFormatting>
  <conditionalFormatting sqref="D8">
    <cfRule type="cellIs" dxfId="5" priority="6" operator="greaterThan">
      <formula>0</formula>
    </cfRule>
  </conditionalFormatting>
  <conditionalFormatting sqref="D8">
    <cfRule type="cellIs" dxfId="4" priority="5" operator="greaterThan">
      <formula>0</formula>
    </cfRule>
  </conditionalFormatting>
  <conditionalFormatting sqref="D11">
    <cfRule type="cellIs" dxfId="3" priority="4" operator="greaterThan">
      <formula>0</formula>
    </cfRule>
  </conditionalFormatting>
  <conditionalFormatting sqref="D11">
    <cfRule type="cellIs" dxfId="2" priority="3" operator="greaterThan">
      <formula>0</formula>
    </cfRule>
  </conditionalFormatting>
  <conditionalFormatting sqref="D2">
    <cfRule type="cellIs" dxfId="1" priority="2" operator="greaterThan">
      <formula>0</formula>
    </cfRule>
  </conditionalFormatting>
  <conditionalFormatting sqref="D2">
    <cfRule type="cellIs" dxfId="0" priority="1" operator="greaterThan">
      <formula>0</formula>
    </cfRule>
  </conditionalFormatting>
  <dataValidations count="1">
    <dataValidation type="whole" operator="greaterThan" allowBlank="1" showInputMessage="1" showErrorMessage="1" sqref="D5:D7" xr:uid="{61A33605-5C61-4C02-AF23-9CA17AD234A9}">
      <formula1>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447562-954a-4581-8d17-69f79ff9cc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9E8A57A39DD348806FF0BE9C94E986" ma:contentTypeVersion="18" ma:contentTypeDescription="Create a new document." ma:contentTypeScope="" ma:versionID="07d5e91fdd5b22c04293609f591cf107">
  <xsd:schema xmlns:xsd="http://www.w3.org/2001/XMLSchema" xmlns:xs="http://www.w3.org/2001/XMLSchema" xmlns:p="http://schemas.microsoft.com/office/2006/metadata/properties" xmlns:ns3="e5447562-954a-4581-8d17-69f79ff9cc3a" xmlns:ns4="f7d52c6e-8bd4-4df9-8df8-d7089df8697f" targetNamespace="http://schemas.microsoft.com/office/2006/metadata/properties" ma:root="true" ma:fieldsID="466eb63a26d66bb693be842d7edb6227" ns3:_="" ns4:_="">
    <xsd:import namespace="e5447562-954a-4581-8d17-69f79ff9cc3a"/>
    <xsd:import namespace="f7d52c6e-8bd4-4df9-8df8-d7089df869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47562-954a-4581-8d17-69f79ff9c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52c6e-8bd4-4df9-8df8-d7089df86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314C3-12F4-46C7-BF1C-02E332AAF86D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e5447562-954a-4581-8d17-69f79ff9cc3a"/>
    <ds:schemaRef ds:uri="http://schemas.openxmlformats.org/package/2006/metadata/core-properties"/>
    <ds:schemaRef ds:uri="f7d52c6e-8bd4-4df9-8df8-d7089df8697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6B0658-886A-490D-A83C-C37334A1F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EC0F3F-F2C1-442B-8D0C-8679C9120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47562-954a-4581-8d17-69f79ff9cc3a"/>
    <ds:schemaRef ds:uri="f7d52c6e-8bd4-4df9-8df8-d7089df86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Avance Financiero</vt:lpstr>
      <vt:lpstr>EJecucion convenio 46000017482</vt:lpstr>
      <vt:lpstr>Ejecución financiera CAS</vt:lpstr>
      <vt:lpstr>% Ejecución financiera CRUE</vt:lpstr>
      <vt:lpstr>Ejecución Financiera CAS 1</vt:lpstr>
      <vt:lpstr>Avance mensual Conv IDEA</vt:lpstr>
      <vt:lpstr>Hoja1</vt:lpstr>
      <vt:lpstr>'Avance Financiero'!Área_de_impresión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2026-09-01T19:23:10Z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0x010100189E8A57A39DD348806FF0BE9C94E986</vt:lpwstr>
  </property>
  <property fmtid="{D5CDD505-2E9C-101B-9397-08002B2CF9AE}" pid="3" name="MediaServiceImageTags">
    <vt:lpwstr/>
  </property>
</Properties>
</file>